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1.xml" ContentType="application/vnd.openxmlformats-officedocument.drawing+xml"/>
  <Override PartName="/xl/worksheets/sheet12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456" tabRatio="600" firstSheet="5" activeTab="7" autoFilterDateGrouping="1"/>
  </bookViews>
  <sheets>
    <sheet xmlns:r="http://schemas.openxmlformats.org/officeDocument/2006/relationships" name="Profit &amp; Loss" sheetId="1" state="hidden" r:id="rId1"/>
    <sheet xmlns:r="http://schemas.openxmlformats.org/officeDocument/2006/relationships" name="Quarters" sheetId="2" state="hidden" r:id="rId2"/>
    <sheet xmlns:r="http://schemas.openxmlformats.org/officeDocument/2006/relationships" name="Balance Sheet" sheetId="3" state="hidden" r:id="rId3"/>
    <sheet xmlns:r="http://schemas.openxmlformats.org/officeDocument/2006/relationships" name="Cash Flow" sheetId="4" state="hidden" r:id="rId4"/>
    <sheet xmlns:r="http://schemas.openxmlformats.org/officeDocument/2006/relationships" name="Customization" sheetId="5" state="hidden" r:id="rId5"/>
    <sheet xmlns:r="http://schemas.openxmlformats.org/officeDocument/2006/relationships" name="Historical data" sheetId="6" state="visible" r:id="rId6"/>
    <sheet xmlns:r="http://schemas.openxmlformats.org/officeDocument/2006/relationships" name="Ratio Analysis" sheetId="7" state="visible" r:id="rId7"/>
    <sheet xmlns:r="http://schemas.openxmlformats.org/officeDocument/2006/relationships" name="DCF Modelling" sheetId="8" state="visible" r:id="rId8"/>
    <sheet xmlns:r="http://schemas.openxmlformats.org/officeDocument/2006/relationships" name="Common Size Statement" sheetId="9" state="visible" r:id="rId9"/>
    <sheet xmlns:r="http://schemas.openxmlformats.org/officeDocument/2006/relationships" name="Comp Analysis" sheetId="10" state="visible" r:id="rId10"/>
    <sheet xmlns:r="http://schemas.openxmlformats.org/officeDocument/2006/relationships" name="Trend Analysis" sheetId="11" state="visible" r:id="rId11"/>
    <sheet xmlns:r="http://schemas.openxmlformats.org/officeDocument/2006/relationships" name="Data" sheetId="12" state="visible" r:id="rId12"/>
  </sheets>
  <definedNames>
    <definedName name="UPDATE">Data!$E$1</definedName>
  </definedNames>
  <calcPr calcId="191029" fullCalcOnLoad="1"/>
</workbook>
</file>

<file path=xl/styles.xml><?xml version="1.0" encoding="utf-8"?>
<styleSheet xmlns="http://schemas.openxmlformats.org/spreadsheetml/2006/main">
  <numFmts count="11">
    <numFmt numFmtId="164" formatCode="_ * #,##0.00_ ;_ * \-#,##0.00_ ;_ * &quot;-&quot;??_ ;_ @_ "/>
    <numFmt numFmtId="165" formatCode="[$-409]mmm\-yy;@"/>
    <numFmt numFmtId="166" formatCode="&quot;₹&quot;\ #,##0.00"/>
    <numFmt numFmtId="167" formatCode="&quot;₹&quot;\ #,##0.0"/>
    <numFmt numFmtId="168" formatCode="&quot;₹&quot;\ #,##0;&quot;₹&quot;\ \(#,##0\);0"/>
    <numFmt numFmtId="169" formatCode="mmm/yy\ &quot;A&quot;"/>
    <numFmt numFmtId="170" formatCode="mmm/yy\ &quot;E&quot;"/>
    <numFmt numFmtId="171" formatCode="0.0"/>
    <numFmt numFmtId="172" formatCode="0.0%;0"/>
    <numFmt numFmtId="173" formatCode="#,##0;\(#,##0\)"/>
    <numFmt numFmtId="174" formatCode="0.0\ &quot;x&quot;"/>
  </numFmts>
  <fonts count="1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0"/>
      <sz val="11"/>
      <u val="single"/>
    </font>
    <font>
      <name val="Calibri"/>
      <family val="2"/>
      <color theme="0"/>
      <sz val="11"/>
      <scheme val="minor"/>
    </font>
    <font>
      <name val="Calibri"/>
      <family val="2"/>
      <b val="1"/>
      <color theme="10"/>
      <sz val="11"/>
      <u val="single"/>
    </font>
    <font>
      <name val="Calibri"/>
      <family val="2"/>
      <b val="1"/>
      <color theme="1"/>
      <sz val="16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sz val="11"/>
      <scheme val="minor"/>
    </font>
    <font>
      <name val="Calibri"/>
      <family val="2"/>
      <i val="1"/>
      <color theme="0" tint="-0.3499862666707358"/>
      <sz val="11"/>
      <scheme val="minor"/>
    </font>
    <font>
      <name val="Calibri"/>
      <family val="2"/>
      <b val="1"/>
      <color rgb="FF000000"/>
      <sz val="11"/>
      <scheme val="minor"/>
    </font>
    <font>
      <name val="Calibri"/>
      <family val="2"/>
      <color theme="7" tint="-0.249977111117893"/>
      <sz val="11"/>
      <scheme val="minor"/>
    </font>
    <font>
      <name val="Calibri"/>
      <family val="2"/>
      <color theme="7" tint="0.3999755851924192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4" tint="0.3999755851924192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9"/>
      </patternFill>
    </fill>
    <fill>
      <patternFill patternType="solid">
        <fgColor rgb="FF0275D8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dashed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ck">
        <color theme="0"/>
      </top>
      <bottom/>
      <diagonal/>
    </border>
  </borders>
  <cellStyleXfs count="7">
    <xf numFmtId="0" fontId="3" fillId="0" borderId="0"/>
    <xf numFmtId="43" fontId="3" fillId="0" borderId="0"/>
    <xf numFmtId="0" fontId="4" fillId="0" borderId="0" applyAlignment="1" applyProtection="1">
      <alignment vertical="top"/>
      <protection locked="0" hidden="0"/>
    </xf>
    <xf numFmtId="0" fontId="5" fillId="2" borderId="0"/>
    <xf numFmtId="0" fontId="5" fillId="3" borderId="0"/>
    <xf numFmtId="0" fontId="5" fillId="4" borderId="0"/>
    <xf numFmtId="9" fontId="3" fillId="0" borderId="0"/>
  </cellStyleXfs>
  <cellXfs count="121">
    <xf numFmtId="0" fontId="0" fillId="0" borderId="0" pivotButton="0" quotePrefix="0" xfId="0"/>
    <xf numFmtId="164" fontId="1" fillId="0" borderId="0" pivotButton="0" quotePrefix="0" xfId="1"/>
    <xf numFmtId="0" fontId="1" fillId="0" borderId="0" pivotButton="0" quotePrefix="0" xfId="0"/>
    <xf numFmtId="0" fontId="8" fillId="0" borderId="0" pivotButton="0" quotePrefix="0" xfId="0"/>
    <xf numFmtId="164" fontId="0" fillId="0" borderId="0" pivotButton="0" quotePrefix="0" xfId="1"/>
    <xf numFmtId="10" fontId="0" fillId="0" borderId="0" pivotButton="0" quotePrefix="0" xfId="0"/>
    <xf numFmtId="164" fontId="3" fillId="0" borderId="0" pivotButton="0" quotePrefix="0" xfId="1"/>
    <xf numFmtId="9" fontId="3" fillId="0" borderId="0" pivotButton="0" quotePrefix="0" xfId="1"/>
    <xf numFmtId="164" fontId="2" fillId="2" borderId="0" pivotButton="0" quotePrefix="0" xfId="3"/>
    <xf numFmtId="164" fontId="2" fillId="3" borderId="0" pivotButton="0" quotePrefix="0" xfId="4"/>
    <xf numFmtId="9" fontId="1" fillId="0" borderId="0" pivotButton="0" quotePrefix="0" xfId="6"/>
    <xf numFmtId="0" fontId="2" fillId="5" borderId="0" pivotButton="0" quotePrefix="0" xfId="0"/>
    <xf numFmtId="165" fontId="2" fillId="5" borderId="0" applyAlignment="1" pivotButton="0" quotePrefix="0" xfId="0">
      <alignment horizontal="center"/>
    </xf>
    <xf numFmtId="0" fontId="2" fillId="5" borderId="0" applyAlignment="1" pivotButton="0" quotePrefix="0" xfId="0">
      <alignment horizontal="center"/>
    </xf>
    <xf numFmtId="164" fontId="0" fillId="0" borderId="0" applyAlignment="1" pivotButton="0" quotePrefix="0" xfId="1">
      <alignment horizontal="center"/>
    </xf>
    <xf numFmtId="164" fontId="1" fillId="0" borderId="0" applyAlignment="1" pivotButton="0" quotePrefix="0" xfId="1">
      <alignment horizontal="center"/>
    </xf>
    <xf numFmtId="10" fontId="1" fillId="0" borderId="0" pivotButton="0" quotePrefix="0" xfId="0"/>
    <xf numFmtId="165" fontId="2" fillId="5" borderId="0" pivotButton="0" quotePrefix="0" xfId="1"/>
    <xf numFmtId="165" fontId="9" fillId="0" borderId="0" pivotButton="0" quotePrefix="0" xfId="1"/>
    <xf numFmtId="0" fontId="7" fillId="0" borderId="0" pivotButton="0" quotePrefix="0" xfId="0"/>
    <xf numFmtId="0" fontId="0" fillId="0" borderId="0" applyAlignment="1" pivotButton="0" quotePrefix="0" xfId="0">
      <alignment horizontal="left"/>
    </xf>
    <xf numFmtId="0" fontId="6" fillId="0" borderId="0" applyAlignment="1" pivotButton="0" quotePrefix="0" xfId="2">
      <alignment horizontal="left"/>
    </xf>
    <xf numFmtId="0" fontId="6" fillId="0" borderId="0" pivotButton="0" quotePrefix="0" xfId="2"/>
    <xf numFmtId="0" fontId="9" fillId="0" borderId="0" pivotButton="0" quotePrefix="0" xfId="0"/>
    <xf numFmtId="43" fontId="0" fillId="0" borderId="0" pivotButton="0" quotePrefix="0" xfId="1"/>
    <xf numFmtId="0" fontId="2" fillId="6" borderId="0" applyAlignment="1" pivotButton="0" quotePrefix="0" xfId="0">
      <alignment horizontal="center"/>
    </xf>
    <xf numFmtId="0" fontId="2" fillId="6" borderId="0" applyAlignment="1" pivotButton="0" quotePrefix="0" xfId="0">
      <alignment horizontal="left" vertical="center"/>
    </xf>
    <xf numFmtId="0" fontId="1" fillId="7" borderId="0" applyAlignment="1" pivotButton="0" quotePrefix="0" xfId="0">
      <alignment horizontal="left" vertical="center"/>
    </xf>
    <xf numFmtId="0" fontId="0" fillId="0" borderId="0" applyAlignment="1" pivotButton="0" quotePrefix="0" xfId="0">
      <alignment horizontal="left" vertical="center"/>
    </xf>
    <xf numFmtId="0" fontId="0" fillId="7" borderId="0" applyAlignment="1" pivotButton="0" quotePrefix="0" xfId="0">
      <alignment horizontal="right"/>
    </xf>
    <xf numFmtId="0" fontId="0" fillId="0" borderId="0" applyAlignment="1" pivotButton="0" quotePrefix="0" xfId="0">
      <alignment horizontal="right"/>
    </xf>
    <xf numFmtId="166" fontId="0" fillId="0" borderId="0" applyAlignment="1" pivotButton="0" quotePrefix="0" xfId="0">
      <alignment horizontal="right"/>
    </xf>
    <xf numFmtId="167" fontId="0" fillId="0" borderId="0" applyAlignment="1" pivotButton="0" quotePrefix="0" xfId="0">
      <alignment horizontal="right"/>
    </xf>
    <xf numFmtId="0" fontId="10" fillId="8" borderId="0" applyAlignment="1" pivotButton="0" quotePrefix="0" xfId="0">
      <alignment horizontal="left" vertical="center"/>
    </xf>
    <xf numFmtId="10" fontId="10" fillId="8" borderId="0" applyAlignment="1" pivotButton="0" quotePrefix="0" xfId="6">
      <alignment horizontal="right"/>
    </xf>
    <xf numFmtId="0" fontId="1" fillId="0" borderId="1" applyAlignment="1" pivotButton="0" quotePrefix="0" xfId="0">
      <alignment horizontal="left" vertical="center"/>
    </xf>
    <xf numFmtId="167" fontId="1" fillId="0" borderId="1" applyAlignment="1" pivotButton="0" quotePrefix="0" xfId="0">
      <alignment horizontal="right"/>
    </xf>
    <xf numFmtId="0" fontId="1" fillId="0" borderId="0" applyAlignment="1" pivotButton="0" quotePrefix="0" xfId="0">
      <alignment horizontal="left" vertical="center"/>
    </xf>
    <xf numFmtId="0" fontId="1" fillId="0" borderId="2" applyAlignment="1" pivotButton="0" quotePrefix="0" xfId="0">
      <alignment horizontal="left" vertical="center"/>
    </xf>
    <xf numFmtId="164" fontId="1" fillId="0" borderId="3" pivotButton="0" quotePrefix="0" xfId="1"/>
    <xf numFmtId="166" fontId="1" fillId="0" borderId="2" applyAlignment="1" pivotButton="0" quotePrefix="0" xfId="0">
      <alignment horizontal="right"/>
    </xf>
    <xf numFmtId="166" fontId="1" fillId="0" borderId="3" applyAlignment="1" pivotButton="0" quotePrefix="0" xfId="0">
      <alignment horizontal="right"/>
    </xf>
    <xf numFmtId="166" fontId="1" fillId="0" borderId="0" applyAlignment="1" pivotButton="0" quotePrefix="0" xfId="0">
      <alignment horizontal="right"/>
    </xf>
    <xf numFmtId="0" fontId="1" fillId="7" borderId="0" applyAlignment="1" pivotButton="0" quotePrefix="0" xfId="0">
      <alignment horizontal="right"/>
    </xf>
    <xf numFmtId="0" fontId="0" fillId="0" borderId="0" applyAlignment="1" pivotButton="0" quotePrefix="0" xfId="0">
      <alignment vertical="center" wrapText="1"/>
    </xf>
    <xf numFmtId="3" fontId="0" fillId="0" borderId="0" applyAlignment="1" pivotButton="0" quotePrefix="0" xfId="0">
      <alignment vertical="center" wrapText="1"/>
    </xf>
    <xf numFmtId="0" fontId="1" fillId="0" borderId="0" applyAlignment="1" pivotButton="0" quotePrefix="0" xfId="0">
      <alignment horizontal="right"/>
    </xf>
    <xf numFmtId="0" fontId="11" fillId="0" borderId="0" applyAlignment="1" pivotButton="0" quotePrefix="0" xfId="0">
      <alignment horizontal="left" vertical="center"/>
    </xf>
    <xf numFmtId="168" fontId="0" fillId="0" borderId="0" applyAlignment="1" pivotButton="0" quotePrefix="0" xfId="0">
      <alignment vertical="center" wrapText="1"/>
    </xf>
    <xf numFmtId="168" fontId="0" fillId="0" borderId="0" applyAlignment="1" pivotButton="0" quotePrefix="0" xfId="0">
      <alignment horizontal="right"/>
    </xf>
    <xf numFmtId="0" fontId="1" fillId="0" borderId="4" applyAlignment="1" pivotButton="0" quotePrefix="0" xfId="0">
      <alignment horizontal="left" vertical="center"/>
    </xf>
    <xf numFmtId="168" fontId="1" fillId="0" borderId="4" applyAlignment="1" pivotButton="0" quotePrefix="0" xfId="0">
      <alignment horizontal="right"/>
    </xf>
    <xf numFmtId="169" fontId="2" fillId="6" borderId="0" applyAlignment="1" pivotButton="0" quotePrefix="0" xfId="0">
      <alignment horizontal="right"/>
    </xf>
    <xf numFmtId="170" fontId="2" fillId="6" borderId="0" pivotButton="0" quotePrefix="0" xfId="0"/>
    <xf numFmtId="0" fontId="0" fillId="8" borderId="0" pivotButton="0" quotePrefix="0" xfId="0"/>
    <xf numFmtId="167" fontId="0" fillId="8" borderId="0" applyAlignment="1" pivotButton="0" quotePrefix="0" xfId="0">
      <alignment horizontal="right"/>
    </xf>
    <xf numFmtId="167" fontId="1" fillId="8" borderId="5" applyAlignment="1" pivotButton="0" quotePrefix="0" xfId="0">
      <alignment horizontal="right"/>
    </xf>
    <xf numFmtId="0" fontId="0" fillId="0" borderId="0" applyAlignment="1" pivotButton="0" quotePrefix="0" xfId="0">
      <alignment wrapText="1"/>
    </xf>
    <xf numFmtId="0" fontId="1" fillId="0" borderId="0" applyAlignment="1" pivotButton="0" quotePrefix="0" xfId="0">
      <alignment wrapText="1"/>
    </xf>
    <xf numFmtId="167" fontId="1" fillId="8" borderId="1" applyAlignment="1" pivotButton="0" quotePrefix="0" xfId="0">
      <alignment horizontal="right"/>
    </xf>
    <xf numFmtId="167" fontId="0" fillId="8" borderId="4" applyAlignment="1" pivotButton="0" quotePrefix="0" xfId="0">
      <alignment horizontal="right"/>
    </xf>
    <xf numFmtId="167" fontId="0" fillId="8" borderId="3" applyAlignment="1" pivotButton="0" quotePrefix="0" xfId="0">
      <alignment horizontal="right"/>
    </xf>
    <xf numFmtId="167" fontId="1" fillId="8" borderId="4" applyAlignment="1" pivotButton="0" quotePrefix="0" xfId="0">
      <alignment horizontal="right"/>
    </xf>
    <xf numFmtId="0" fontId="1" fillId="9" borderId="6" applyAlignment="1" pivotButton="0" quotePrefix="0" xfId="0">
      <alignment horizontal="left" vertical="center"/>
    </xf>
    <xf numFmtId="168" fontId="1" fillId="9" borderId="6" applyAlignment="1" pivotButton="0" quotePrefix="0" xfId="0">
      <alignment horizontal="right"/>
    </xf>
    <xf numFmtId="167" fontId="0" fillId="9" borderId="6" applyAlignment="1" pivotButton="0" quotePrefix="0" xfId="0">
      <alignment horizontal="right"/>
    </xf>
    <xf numFmtId="3" fontId="0" fillId="0" borderId="0" pivotButton="0" quotePrefix="0" xfId="0"/>
    <xf numFmtId="0" fontId="0" fillId="0" borderId="5" applyAlignment="1" pivotButton="0" quotePrefix="0" xfId="0">
      <alignment horizontal="left" vertical="center"/>
    </xf>
    <xf numFmtId="166" fontId="0" fillId="0" borderId="5" applyAlignment="1" pivotButton="0" quotePrefix="0" xfId="0">
      <alignment horizontal="right"/>
    </xf>
    <xf numFmtId="166" fontId="0" fillId="8" borderId="5" applyAlignment="1" pivotButton="0" quotePrefix="0" xfId="0">
      <alignment horizontal="right"/>
    </xf>
    <xf numFmtId="2" fontId="0" fillId="0" borderId="0" pivotButton="0" quotePrefix="0" xfId="0"/>
    <xf numFmtId="171" fontId="0" fillId="0" borderId="0" pivotButton="0" quotePrefix="0" xfId="0"/>
    <xf numFmtId="1" fontId="0" fillId="0" borderId="0" pivotButton="0" quotePrefix="0" xfId="0"/>
    <xf numFmtId="172" fontId="0" fillId="0" borderId="0" pivotButton="0" quotePrefix="0" xfId="0"/>
    <xf numFmtId="172" fontId="0" fillId="8" borderId="0" pivotButton="0" quotePrefix="0" xfId="0"/>
    <xf numFmtId="1" fontId="0" fillId="8" borderId="0" pivotButton="0" quotePrefix="0" xfId="0"/>
    <xf numFmtId="2" fontId="0" fillId="8" borderId="0" pivotButton="0" quotePrefix="0" xfId="0"/>
    <xf numFmtId="9" fontId="0" fillId="0" borderId="0" pivotButton="0" quotePrefix="0" xfId="6"/>
    <xf numFmtId="9" fontId="0" fillId="0" borderId="0" pivotButton="0" quotePrefix="0" xfId="0"/>
    <xf numFmtId="0" fontId="0" fillId="6" borderId="0" pivotButton="0" quotePrefix="0" xfId="0"/>
    <xf numFmtId="0" fontId="2" fillId="6" borderId="0" pivotButton="0" quotePrefix="0" xfId="0"/>
    <xf numFmtId="166" fontId="12" fillId="0" borderId="0" applyAlignment="1" pivotButton="0" quotePrefix="0" xfId="0">
      <alignment wrapText="1"/>
    </xf>
    <xf numFmtId="10" fontId="12" fillId="0" borderId="0" pivotButton="0" quotePrefix="0" xfId="0"/>
    <xf numFmtId="10" fontId="12" fillId="0" borderId="0" pivotButton="0" quotePrefix="0" xfId="6"/>
    <xf numFmtId="0" fontId="12" fillId="0" borderId="0" pivotButton="0" quotePrefix="0" xfId="0"/>
    <xf numFmtId="9" fontId="0" fillId="8" borderId="0" pivotButton="0" quotePrefix="0" xfId="6"/>
    <xf numFmtId="0" fontId="1" fillId="8" borderId="0" pivotButton="0" quotePrefix="0" xfId="0"/>
    <xf numFmtId="0" fontId="0" fillId="0" borderId="5" pivotButton="0" quotePrefix="0" xfId="0"/>
    <xf numFmtId="0" fontId="2" fillId="0" borderId="0" pivotButton="0" quotePrefix="0" xfId="0"/>
    <xf numFmtId="170" fontId="2" fillId="0" borderId="0" pivotButton="0" quotePrefix="0" xfId="0"/>
    <xf numFmtId="164" fontId="0" fillId="0" borderId="0" pivotButton="0" quotePrefix="0" xfId="0"/>
    <xf numFmtId="164" fontId="1" fillId="0" borderId="6" pivotButton="0" quotePrefix="0" xfId="0"/>
    <xf numFmtId="0" fontId="1" fillId="0" borderId="6" pivotButton="0" quotePrefix="0" xfId="0"/>
    <xf numFmtId="0" fontId="2" fillId="0" borderId="0" applyAlignment="1" pivotButton="0" quotePrefix="0" xfId="0">
      <alignment horizontal="left" vertical="center"/>
    </xf>
    <xf numFmtId="169" fontId="2" fillId="0" borderId="0" applyAlignment="1" pivotButton="0" quotePrefix="0" xfId="0">
      <alignment horizontal="right"/>
    </xf>
    <xf numFmtId="0" fontId="2" fillId="6" borderId="7" pivotButton="0" quotePrefix="0" xfId="0"/>
    <xf numFmtId="173" fontId="0" fillId="0" borderId="0" pivotButton="0" quotePrefix="0" xfId="0"/>
    <xf numFmtId="173" fontId="13" fillId="0" borderId="0" pivotButton="0" quotePrefix="0" xfId="0"/>
    <xf numFmtId="173" fontId="13" fillId="0" borderId="0" applyAlignment="1" pivotButton="0" quotePrefix="0" xfId="0">
      <alignment vertical="center" wrapText="1"/>
    </xf>
    <xf numFmtId="174" fontId="0" fillId="0" borderId="0" pivotButton="0" quotePrefix="0" xfId="0"/>
    <xf numFmtId="0" fontId="13" fillId="0" borderId="0" pivotButton="0" quotePrefix="0" xfId="0"/>
    <xf numFmtId="0" fontId="1" fillId="9" borderId="0" pivotButton="0" quotePrefix="0" xfId="0"/>
    <xf numFmtId="169" fontId="0" fillId="0" borderId="0" applyAlignment="1" pivotButton="0" quotePrefix="0" xfId="0">
      <alignment horizontal="left"/>
    </xf>
    <xf numFmtId="170" fontId="0" fillId="0" borderId="0" applyAlignment="1" pivotButton="0" quotePrefix="0" xfId="0">
      <alignment horizontal="left"/>
    </xf>
    <xf numFmtId="166" fontId="0" fillId="0" borderId="0" pivotButton="0" quotePrefix="0" xfId="0"/>
    <xf numFmtId="0" fontId="2" fillId="6" borderId="0" applyAlignment="1" pivotButton="0" quotePrefix="0" xfId="0">
      <alignment horizontal="center"/>
    </xf>
    <xf numFmtId="164" fontId="4" fillId="0" borderId="0" applyAlignment="1" pivotButton="0" quotePrefix="0" xfId="2">
      <alignment horizontal="center"/>
    </xf>
    <xf numFmtId="164" fontId="2" fillId="4" borderId="0" applyAlignment="1" pivotButton="0" quotePrefix="0" xfId="5">
      <alignment horizontal="center"/>
    </xf>
    <xf numFmtId="164" fontId="1" fillId="0" borderId="0" pivotButton="0" quotePrefix="0" xfId="1"/>
    <xf numFmtId="164" fontId="3" fillId="0" borderId="0" pivotButton="0" quotePrefix="0" xfId="1"/>
    <xf numFmtId="164" fontId="2" fillId="2" borderId="0" pivotButton="0" quotePrefix="0" xfId="3"/>
    <xf numFmtId="164" fontId="2" fillId="3" borderId="0" pivotButton="0" quotePrefix="0" xfId="4"/>
    <xf numFmtId="164" fontId="0" fillId="0" borderId="0" applyAlignment="1" pivotButton="0" quotePrefix="0" xfId="1">
      <alignment horizontal="center"/>
    </xf>
    <xf numFmtId="164" fontId="1" fillId="0" borderId="0" applyAlignment="1" pivotButton="0" quotePrefix="0" xfId="1">
      <alignment horizontal="center"/>
    </xf>
    <xf numFmtId="164" fontId="0" fillId="0" borderId="0" pivotButton="0" quotePrefix="0" xfId="1"/>
    <xf numFmtId="164" fontId="1" fillId="0" borderId="3" pivotButton="0" quotePrefix="0" xfId="1"/>
    <xf numFmtId="164" fontId="0" fillId="0" borderId="0" pivotButton="0" quotePrefix="0" xfId="0"/>
    <xf numFmtId="164" fontId="1" fillId="0" borderId="6" pivotButton="0" quotePrefix="0" xfId="0"/>
    <xf numFmtId="164" fontId="4" fillId="0" borderId="0" applyAlignment="1" pivotButton="0" quotePrefix="0" xfId="2">
      <alignment horizontal="center"/>
    </xf>
    <xf numFmtId="164" fontId="2" fillId="4" borderId="0" applyAlignment="1" pivotButton="0" quotePrefix="0" xfId="5">
      <alignment horizontal="center"/>
    </xf>
    <xf numFmtId="43" fontId="0" fillId="0" borderId="0" pivotButton="0" quotePrefix="0" xfId="1"/>
  </cellXfs>
  <cellStyles count="7">
    <cellStyle name="Normal" xfId="0" builtinId="0"/>
    <cellStyle name="Comma" xfId="1" builtinId="3"/>
    <cellStyle name="Hyperlink" xfId="2" builtinId="8"/>
    <cellStyle name="60% - Accent1" xfId="3" builtinId="32"/>
    <cellStyle name="60% - Accent3" xfId="4" builtinId="40"/>
    <cellStyle name="Accent6" xfId="5" builtinId="49"/>
    <cellStyle name="Percent" xfId="6" builtinId="5"/>
  </cellStyles>
  <dxfs count="31">
    <dxf>
      <font>
        <b val="1"/>
        <color theme="0"/>
      </font>
      <fill>
        <patternFill>
          <bgColor theme="5"/>
        </patternFill>
      </fill>
    </dxf>
    <dxf>
      <font>
        <name val="Calibri"/>
        <b val="1"/>
        <strike val="0"/>
        <outline val="0"/>
        <shadow val="0"/>
        <condense val="0"/>
        <color theme="0"/>
        <extend val="0"/>
        <sz val="11"/>
        <vertAlign val="baseline"/>
        <scheme val="minor"/>
      </font>
      <numFmt numFmtId="165" formatCode="[$-409]mmm\-yy;@"/>
      <fill>
        <patternFill patternType="solid">
          <fgColor theme="4"/>
          <bgColor rgb="FF0275D8"/>
        </patternFill>
      </fill>
      <alignment horizontal="center" vertical="bottom"/>
      <border outline="0">
        <left/>
        <right/>
        <top/>
        <bottom/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1"/>
        <vertAlign val="baseline"/>
        <scheme val="minor"/>
      </font>
      <numFmt numFmtId="165" formatCode="[$-409]mmm\-yy;@"/>
      <fill>
        <patternFill patternType="solid">
          <fgColor theme="4"/>
          <bgColor rgb="FF0275D8"/>
        </patternFill>
      </fill>
      <alignment horizontal="center" vertical="bottom"/>
      <border outline="0">
        <left/>
        <right/>
        <top/>
        <bottom/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1"/>
        <vertAlign val="baseline"/>
        <scheme val="minor"/>
      </font>
      <numFmt numFmtId="165" formatCode="[$-409]mmm\-yy;@"/>
      <fill>
        <patternFill patternType="solid">
          <fgColor theme="4"/>
          <bgColor rgb="FF0275D8"/>
        </patternFill>
      </fill>
      <alignment horizontal="center" vertical="bottom"/>
      <border outline="0">
        <left/>
        <right/>
        <top/>
        <bottom/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1"/>
        <vertAlign val="baseline"/>
        <scheme val="minor"/>
      </font>
      <numFmt numFmtId="165" formatCode="[$-409]mmm\-yy;@"/>
      <fill>
        <patternFill patternType="solid">
          <fgColor theme="4"/>
          <bgColor rgb="FF0275D8"/>
        </patternFill>
      </fill>
      <alignment horizontal="center" vertical="bottom"/>
      <border outline="0">
        <left/>
        <right/>
        <top/>
        <bottom/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1"/>
        <vertAlign val="baseline"/>
        <scheme val="minor"/>
      </font>
      <numFmt numFmtId="165" formatCode="[$-409]mmm\-yy;@"/>
      <fill>
        <patternFill patternType="solid">
          <fgColor theme="4"/>
          <bgColor rgb="FF0275D8"/>
        </patternFill>
      </fill>
      <alignment horizontal="center" vertical="bottom"/>
      <border outline="0">
        <left/>
        <right/>
        <top/>
        <bottom/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1"/>
        <vertAlign val="baseline"/>
        <scheme val="minor"/>
      </font>
      <numFmt numFmtId="165" formatCode="[$-409]mmm\-yy;@"/>
      <fill>
        <patternFill patternType="solid">
          <fgColor theme="4"/>
          <bgColor rgb="FF0275D8"/>
        </patternFill>
      </fill>
      <alignment horizontal="center" vertical="bottom"/>
      <border outline="0">
        <left/>
        <right/>
        <top/>
        <bottom/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1"/>
        <vertAlign val="baseline"/>
        <scheme val="minor"/>
      </font>
      <numFmt numFmtId="165" formatCode="[$-409]mmm\-yy;@"/>
      <fill>
        <patternFill patternType="solid">
          <fgColor theme="4"/>
          <bgColor rgb="FF0275D8"/>
        </patternFill>
      </fill>
      <alignment horizontal="center" vertical="bottom"/>
      <border outline="0">
        <left/>
        <right/>
        <top/>
        <bottom/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1"/>
        <vertAlign val="baseline"/>
        <scheme val="minor"/>
      </font>
      <numFmt numFmtId="165" formatCode="[$-409]mmm\-yy;@"/>
      <fill>
        <patternFill patternType="solid">
          <fgColor theme="4"/>
          <bgColor rgb="FF0275D8"/>
        </patternFill>
      </fill>
      <alignment horizontal="center" vertical="bottom"/>
      <border outline="0">
        <left/>
        <right/>
        <top/>
        <bottom/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1"/>
        <vertAlign val="baseline"/>
        <scheme val="minor"/>
      </font>
      <numFmt numFmtId="165" formatCode="[$-409]mmm\-yy;@"/>
      <fill>
        <patternFill patternType="solid">
          <fgColor theme="4"/>
          <bgColor rgb="FF0275D8"/>
        </patternFill>
      </fill>
      <alignment horizontal="center" vertical="bottom"/>
      <border outline="0">
        <left/>
        <right/>
        <top/>
        <bottom/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1"/>
        <vertAlign val="baseline"/>
        <scheme val="minor"/>
      </font>
      <numFmt numFmtId="165" formatCode="[$-409]mmm\-yy;@"/>
      <fill>
        <patternFill patternType="solid">
          <fgColor theme="4"/>
          <bgColor rgb="FF0275D8"/>
        </patternFill>
      </fill>
      <alignment horizontal="center" vertical="bottom"/>
      <border outline="0">
        <left/>
        <right/>
        <top/>
        <bottom/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theme="4"/>
          <bgColor rgb="FF0275D8"/>
        </patternFill>
      </fill>
      <border outline="0">
        <left style="thin">
          <color theme="4"/>
        </left>
        <right/>
        <top/>
        <bottom/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1"/>
        <vertAlign val="baseline"/>
        <scheme val="minor"/>
      </font>
      <numFmt numFmtId="165" formatCode="[$-409]mmm\-yy;@"/>
      <fill>
        <patternFill patternType="solid">
          <fgColor theme="4"/>
          <bgColor rgb="FF0275D8"/>
        </patternFill>
      </fill>
      <alignment horizontal="center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font>
        <name val="Calibri"/>
        <b val="1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theme="4"/>
          <bgColor rgb="FF0275D8"/>
        </patternFill>
      </fill>
      <alignment horizontal="center" vertical="bottom"/>
      <border outline="0">
        <left/>
        <right style="thin">
          <color theme="4"/>
        </right>
        <top/>
        <bottom/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font>
        <name val="Calibri"/>
        <b val="1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theme="4"/>
          <bgColor rgb="FF0275D8"/>
        </patternFill>
      </fill>
      <alignment horizontal="center" vertical="bottom"/>
      <border outline="0">
        <left/>
        <right/>
        <top/>
        <bottom/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theme="4"/>
          <bgColor rgb="FF0275D8"/>
        </patternFill>
      </fill>
      <alignment horizontal="center" vertical="bottom"/>
      <border outline="0">
        <left/>
        <right/>
        <top/>
        <bottom/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1"/>
        <vertAlign val="baseline"/>
        <scheme val="minor"/>
      </font>
      <numFmt numFmtId="165" formatCode="[$-409]mmm\-yy;@"/>
      <fill>
        <patternFill patternType="solid">
          <fgColor theme="4"/>
          <bgColor rgb="FF0275D8"/>
        </patternFill>
      </fill>
      <alignment horizontal="center" vertical="bottom"/>
      <border outline="0">
        <left/>
        <right/>
        <top/>
        <bottom/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1"/>
        <vertAlign val="baseline"/>
        <scheme val="minor"/>
      </font>
      <numFmt numFmtId="165" formatCode="[$-409]mmm\-yy;@"/>
      <fill>
        <patternFill patternType="solid">
          <fgColor theme="4"/>
          <bgColor rgb="FF0275D8"/>
        </patternFill>
      </fill>
      <alignment horizontal="center" vertical="bottom"/>
      <border outline="0">
        <left/>
        <right/>
        <top/>
        <bottom/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1"/>
        <vertAlign val="baseline"/>
        <scheme val="minor"/>
      </font>
      <numFmt numFmtId="165" formatCode="[$-409]mmm\-yy;@"/>
      <fill>
        <patternFill patternType="solid">
          <fgColor theme="4"/>
          <bgColor rgb="FF0275D8"/>
        </patternFill>
      </fill>
      <alignment horizontal="center" vertical="bottom"/>
      <border outline="0">
        <left/>
        <right/>
        <top/>
        <bottom/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1"/>
        <vertAlign val="baseline"/>
        <scheme val="minor"/>
      </font>
      <numFmt numFmtId="165" formatCode="[$-409]mmm\-yy;@"/>
      <fill>
        <patternFill patternType="solid">
          <fgColor theme="4"/>
          <bgColor rgb="FF0275D8"/>
        </patternFill>
      </fill>
      <alignment horizontal="center" vertical="bottom"/>
      <border outline="0">
        <left/>
        <right/>
        <top/>
        <bottom/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1"/>
        <vertAlign val="baseline"/>
        <scheme val="minor"/>
      </font>
      <numFmt numFmtId="165" formatCode="[$-409]mmm\-yy;@"/>
      <fill>
        <patternFill patternType="solid">
          <fgColor theme="4"/>
          <bgColor rgb="FF0275D8"/>
        </patternFill>
      </fill>
      <alignment horizontal="center" vertical="bottom"/>
      <border outline="0">
        <left/>
        <right/>
        <top/>
        <bottom/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1"/>
        <vertAlign val="baseline"/>
        <scheme val="minor"/>
      </font>
      <numFmt numFmtId="165" formatCode="[$-409]mmm\-yy;@"/>
      <fill>
        <patternFill patternType="solid">
          <fgColor theme="4"/>
          <bgColor rgb="FF0275D8"/>
        </patternFill>
      </fill>
      <alignment horizontal="center" vertical="bottom"/>
      <border outline="0">
        <left/>
        <right/>
        <top/>
        <bottom/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1"/>
        <vertAlign val="baseline"/>
        <scheme val="minor"/>
      </font>
      <numFmt numFmtId="165" formatCode="[$-409]mmm\-yy;@"/>
      <fill>
        <patternFill patternType="solid">
          <fgColor theme="4"/>
          <bgColor rgb="FF0275D8"/>
        </patternFill>
      </fill>
      <alignment horizontal="center" vertical="bottom"/>
      <border outline="0">
        <left/>
        <right/>
        <top/>
        <bottom/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1"/>
        <vertAlign val="baseline"/>
        <scheme val="minor"/>
      </font>
      <numFmt numFmtId="165" formatCode="[$-409]mmm\-yy;@"/>
      <fill>
        <patternFill patternType="solid">
          <fgColor theme="4"/>
          <bgColor rgb="FF0275D8"/>
        </patternFill>
      </fill>
      <alignment horizontal="center" vertical="bottom"/>
      <border outline="0">
        <left/>
        <right/>
        <top/>
        <bottom/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1"/>
        <vertAlign val="baseline"/>
        <scheme val="minor"/>
      </font>
      <numFmt numFmtId="165" formatCode="[$-409]mmm\-yy;@"/>
      <fill>
        <patternFill patternType="solid">
          <fgColor theme="4"/>
          <bgColor rgb="FF0275D8"/>
        </patternFill>
      </fill>
      <alignment horizontal="center" vertical="bottom"/>
      <border outline="0">
        <left/>
        <right/>
        <top/>
        <bottom/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1"/>
        <vertAlign val="baseline"/>
        <scheme val="minor"/>
      </font>
      <numFmt numFmtId="165" formatCode="[$-409]mmm\-yy;@"/>
      <fill>
        <patternFill patternType="solid">
          <fgColor theme="4"/>
          <bgColor rgb="FF0275D8"/>
        </patternFill>
      </fill>
      <alignment horizontal="center" vertical="bottom"/>
      <border outline="0">
        <left/>
        <right/>
        <top/>
        <bottom/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font>
        <name val="Calibri"/>
        <b val="1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theme="4"/>
          <bgColor rgb="FF0275D8"/>
        </patternFill>
      </fill>
      <border outline="0">
        <left/>
        <right/>
        <top/>
        <bottom/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theme="4"/>
          <bgColor rgb="FF0275D8"/>
        </patternFill>
      </fill>
      <alignment horizontal="center" vertical="bottom"/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spPr>
              <a:solidFill xmlns:a="http://schemas.openxmlformats.org/drawingml/2006/main">
                <a:sysClr val="window" lastClr="FFFFFF"/>
              </a:solidFill>
              <a:ln xmlns:a="http://schemas.openxmlformats.org/drawingml/2006/main">
                <a:solidFill>
                  <a:sysClr val="windowText" lastClr="000000">
                    <a:lumOff val="75000"/>
                    <a:lumMod val="25000"/>
                  </a:sysClr>
                </a:solidFill>
                <a:prstDash val="solid"/>
              </a:ln>
            </spPr>
            <txPr>
              <a:bodyPr xmlns:a="http://schemas.openxmlformats.org/drawingml/2006/main" rot="0" spcFirstLastPara="1" vertOverflow="clip" horzOverflow="clip" vert="horz" wrap="square" lIns="38100" tIns="19050" rIns="38100" bIns="19050" anchor="ctr" anchorCtr="1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sz="900" b="0" i="0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None</a:t>
                </a:r>
                <a:endParaRPr lang="en-US"/>
              </a:p>
            </txPr>
            <showLegendKey val="0"/>
            <showVal val="1"/>
            <showCatName val="1"/>
            <showSerName val="0"/>
            <showPercent val="0"/>
            <showBubbleSize val="0"/>
            <showLeaderLines val="0"/>
          </dLbls>
          <cat>
            <numRef>
              <f>'Trend Analysis'!$B$4:$B$18</f>
              <numCache>
                <formatCode>mmm/yy\ "A"</formatCode>
                <ptCount val="15"/>
                <pt idx="0">
                  <v>42825</v>
                </pt>
                <pt idx="1">
                  <v>43190</v>
                </pt>
                <pt idx="2">
                  <v>43555</v>
                </pt>
                <pt idx="3">
                  <v>43921</v>
                </pt>
                <pt idx="4">
                  <v>44286</v>
                </pt>
                <pt idx="5">
                  <v>44651</v>
                </pt>
                <pt idx="6">
                  <v>45016</v>
                </pt>
                <pt idx="7">
                  <v>45382</v>
                </pt>
                <pt idx="8">
                  <v>45747</v>
                </pt>
                <pt idx="9">
                  <v>46112</v>
                </pt>
                <pt idx="10">
                  <formatCode>mmm/yy\ "E"</formatCode>
                  <v>46477</v>
                </pt>
                <pt idx="11">
                  <formatCode>mmm/yy\ "E"</formatCode>
                  <v>46842</v>
                </pt>
                <pt idx="12">
                  <formatCode>mmm/yy\ "E"</formatCode>
                  <v>47207</v>
                </pt>
                <pt idx="13">
                  <formatCode>mmm/yy\ "E"</formatCode>
                  <v>47572</v>
                </pt>
                <pt idx="14">
                  <formatCode>mmm/yy\ "E"</formatCode>
                  <v>47937</v>
                </pt>
              </numCache>
            </numRef>
          </cat>
          <val>
            <numRef>
              <f>'Trend Analysis'!$D$4:$D$18</f>
              <numCache>
                <formatCode>0%</formatCode>
                <ptCount val="15"/>
                <pt idx="0">
                  <formatCode>General</formatCode>
                  <v>0</v>
                </pt>
                <pt idx="1">
                  <v>-0.02708899182567237</v>
                </pt>
                <pt idx="2">
                  <v>0.1132920794015857</v>
                </pt>
                <pt idx="3">
                  <v>-0.02492180665612276</v>
                </pt>
                <pt idx="4">
                  <v>0.1224222509530186</v>
                </pt>
                <pt idx="5">
                  <v>0.3092151834172137</v>
                </pt>
                <pt idx="6">
                  <v>0.2871240833087514</v>
                </pt>
                <pt idx="7">
                  <v>0.1150412962800322</v>
                </pt>
                <pt idx="8">
                  <v>0.06557220715098233</v>
                </pt>
                <pt idx="9">
                  <v>-0.04657501484462623</v>
                </pt>
                <pt idx="10">
                  <v>0.1373118545634222</v>
                </pt>
                <pt idx="11">
                  <v>0.07079076858456879</v>
                </pt>
                <pt idx="12">
                  <v>0.06611073858821714</v>
                </pt>
                <pt idx="13">
                  <v>0.06201113655018942</v>
                </pt>
                <pt idx="14">
                  <v>0.058390288402836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37493600"/>
        <axId val="1937487840"/>
      </lineChart>
      <dateAx>
        <axId val="1937493600"/>
        <scaling>
          <orientation val="minMax"/>
        </scaling>
        <delete val="0"/>
        <axPos val="b"/>
        <numFmt formatCode="mmm/yy\ &quot;A&quot;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37487840"/>
        <crossesAt val="0"/>
        <lblOffset val="100"/>
        <baseTimeUnit val="years"/>
      </dateAx>
      <valAx>
        <axId val="1937487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37493600"/>
        <crosses val="autoZero"/>
        <crossBetween val="between"/>
      </valAx>
    </plotArea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5</col>
      <colOff>144780</colOff>
      <row>2</row>
      <rowOff>160026</rowOff>
    </from>
    <to>
      <col>14</col>
      <colOff>47625</colOff>
      <row>24</row>
      <rowOff>83344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Annual" displayName="Annual" ref="A3:N19" headerRowCount="0" totalsRowShown="0" headerRowDxfId="30">
  <tableColumns count="14">
    <tableColumn id="1" name="Column1" headerRowDxfId="29" dataDxfId="28"/>
    <tableColumn id="2" name="Column2" headerRowDxfId="27"/>
    <tableColumn id="3" name="Column3" headerRowDxfId="26"/>
    <tableColumn id="4" name="Column4" headerRowDxfId="25"/>
    <tableColumn id="5" name="Column5" headerRowDxfId="24"/>
    <tableColumn id="6" name="Column6" headerRowDxfId="23"/>
    <tableColumn id="7" name="Column7" headerRowDxfId="22"/>
    <tableColumn id="8" name="Column8" headerRowDxfId="21"/>
    <tableColumn id="9" name="Column9" headerRowDxfId="20"/>
    <tableColumn id="10" name="Column10" headerRowDxfId="19"/>
    <tableColumn id="11" name="Column11" headerRowDxfId="18"/>
    <tableColumn id="12" name="Column12" headerRowDxfId="17"/>
    <tableColumn id="13" name="Column13" headerRowDxfId="16" dataDxfId="15"/>
    <tableColumn id="14" name="Column14" headerRowDxfId="14" dataDxfId="13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2" name="Quarters" displayName="Quarters" ref="A3:K14" headerRowCount="0" totalsRowShown="0" headerRowDxfId="12">
  <tableColumns count="11">
    <tableColumn id="1" name="Column1" headerRowDxfId="11"/>
    <tableColumn id="2" name="Column2" headerRowDxfId="10"/>
    <tableColumn id="3" name="Column3" headerRowDxfId="9"/>
    <tableColumn id="4" name="Column4" headerRowDxfId="8"/>
    <tableColumn id="5" name="Column5" headerRowDxfId="7"/>
    <tableColumn id="6" name="Column6" headerRowDxfId="6"/>
    <tableColumn id="7" name="Column7" headerRowDxfId="5"/>
    <tableColumn id="8" name="Column8" headerRowDxfId="4"/>
    <tableColumn id="9" name="Column9" headerRowDxfId="3"/>
    <tableColumn id="10" name="Column10" headerRowDxfId="2"/>
    <tableColumn id="11" name="Column11" headerRowDxfId="1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Adjacency">
  <a:themeElements>
    <a:clrScheme name="Concourse">
      <a:dk1>
        <a:sysClr val="windowText" lastClr="000000"/>
      </a:dk1>
      <a:lt1>
        <a:sysClr val="window" lastClr="FFFFFF"/>
      </a:lt1>
      <a:dk2>
        <a:srgbClr val="464646"/>
      </a:dk2>
      <a:lt2>
        <a:srgbClr val="DEF5FA"/>
      </a:lt2>
      <a:accent1>
        <a:srgbClr val="2DA2BF"/>
      </a:accent1>
      <a:accent2>
        <a:srgbClr val="DA1F28"/>
      </a:accent2>
      <a:accent3>
        <a:srgbClr val="EB641B"/>
      </a:accent3>
      <a:accent4>
        <a:srgbClr val="39639D"/>
      </a:accent4>
      <a:accent5>
        <a:srgbClr val="474B78"/>
      </a:accent5>
      <a:accent6>
        <a:srgbClr val="7D3C4A"/>
      </a:accent6>
      <a:hlink>
        <a:srgbClr val="FF8119"/>
      </a:hlink>
      <a:folHlink>
        <a:srgbClr val="44B9E8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Adjacency">
      <a:fillStyleLst>
        <a:solidFill>
          <a:schemeClr val="phClr"/>
        </a:solidFill>
        <a:solidFill>
          <a:schemeClr val="phClr">
            <a:tint val="55000"/>
          </a:schemeClr>
        </a:solidFill>
        <a:solidFill>
          <a:schemeClr val="phClr"/>
        </a:solidFill>
      </a:fillStyleLst>
      <a:lnStyleLst>
        <a:ln w="1270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algn="bl" rotWithShape="0">
              <a:srgbClr val="000000">
                <a:alpha val="60000"/>
              </a:srgbClr>
            </a:outerShdw>
          </a:effectLst>
        </a:effectStyle>
        <a:effectStyle>
          <a:effectLst/>
          <a:scene3d>
            <a:camera prst="orthographicFront">
              <a:rot lat="0" lon="0" rev="0"/>
            </a:camera>
            <a:lightRig rig="brightRoom" dir="tl">
              <a:rot lat="0" lon="0" rev="1800000"/>
            </a:lightRig>
          </a:scene3d>
          <a:sp3d contourW="10160" prstMaterial="dkEdge">
            <a:bevelT w="38100" h="50800" prst="angle"/>
            <a:contourClr>
              <a:schemeClr val="phClr">
                <a:shade val="40000"/>
                <a:satMod val="15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</a:schemeClr>
            </a:gs>
            <a:gs pos="75000">
              <a:schemeClr val="phClr">
                <a:shade val="100000"/>
                <a:satMod val="115000"/>
              </a:schemeClr>
            </a:gs>
            <a:gs pos="100000">
              <a:schemeClr val="phClr">
                <a:shade val="70000"/>
                <a:satMod val="130000"/>
              </a:schemeClr>
            </a:gs>
          </a:gsLst>
          <a:path path="circle">
            <a:fillToRect l="20000" t="50000" r="100000" b="5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tint val="97000"/>
              </a:schemeClr>
              <a:schemeClr val="phClr">
                <a:shade val="96000"/>
              </a:schemeClr>
            </a:duotone>
          </a:blip>
          <a:tile tx="0" ty="0" sx="32000" sy="32000" flip="none" algn="tl"/>
        </a:blip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http://www.screener.in/" TargetMode="External" Id="rId1"/><Relationship Type="http://schemas.openxmlformats.org/officeDocument/2006/relationships/table" Target="/xl/tables/table1.xml" Id="rId2"/></Relationships>
</file>

<file path=xl/worksheets/_rels/sheet2.xml.rels><Relationships xmlns="http://schemas.openxmlformats.org/package/2006/relationships"><Relationship Type="http://schemas.openxmlformats.org/officeDocument/2006/relationships/hyperlink" Target="http://www.screener.in/" TargetMode="External" Id="rId1"/><Relationship Type="http://schemas.openxmlformats.org/officeDocument/2006/relationships/table" Target="/xl/tables/table2.xml" Id="rId2"/></Relationships>
</file>

<file path=xl/worksheets/_rels/sheet3.xml.rels><Relationships xmlns="http://schemas.openxmlformats.org/package/2006/relationships"><Relationship Type="http://schemas.openxmlformats.org/officeDocument/2006/relationships/hyperlink" Target="http://www.screener.in/" TargetMode="External" Id="rId1"/></Relationships>
</file>

<file path=xl/worksheets/_rels/sheet4.xml.rels><Relationships xmlns="http://schemas.openxmlformats.org/package/2006/relationships"><Relationship Type="http://schemas.openxmlformats.org/officeDocument/2006/relationships/hyperlink" Target="http://www.screener.in/" TargetMode="External" Id="rId1"/></Relationships>
</file>

<file path=xl/worksheets/_rels/sheet5.xml.rels><Relationships xmlns="http://schemas.openxmlformats.org/package/2006/relationships"><Relationship Type="http://schemas.openxmlformats.org/officeDocument/2006/relationships/hyperlink" Target="http://www.screener.in/excel/" TargetMode="External" Id="rId1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12.xml.rels><Relationships xmlns="http://schemas.openxmlformats.org/package/2006/relationships"><Relationship Type="http://schemas.openxmlformats.org/officeDocument/2006/relationships/hyperlink" Target="https://www.screener.in/excel/" TargetMode="Externa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A1:N25"/>
  <sheetViews>
    <sheetView zoomScale="120" zoomScaleNormal="120" zoomScaleSheetLayoutView="100" zoomScalePageLayoutView="120" workbookViewId="0">
      <pane xSplit="1" ySplit="4" topLeftCell="C5" activePane="bottomRight" state="frozen"/>
      <selection activeCell="I2" sqref="I2"/>
      <selection pane="topRight" activeCell="I2" sqref="I2"/>
      <selection pane="bottomLeft" activeCell="I2" sqref="I2"/>
      <selection pane="bottomRight" activeCell="M15" sqref="M15"/>
    </sheetView>
  </sheetViews>
  <sheetFormatPr baseColWidth="8" defaultColWidth="8.77734375" defaultRowHeight="14.4"/>
  <cols>
    <col width="20.6640625" customWidth="1" min="1" max="1"/>
    <col width="13.44140625" customWidth="1" min="2" max="6"/>
    <col width="14.77734375" bestFit="1" customWidth="1" min="7" max="7"/>
    <col width="13.44140625" customWidth="1" min="8" max="11"/>
    <col width="13.33203125" customWidth="1" min="12" max="12"/>
    <col width="12.109375" customWidth="1" min="13" max="14"/>
  </cols>
  <sheetData>
    <row r="1" customFormat="1" s="2">
      <c r="A1" s="2">
        <f>Data!B1</f>
        <v/>
      </c>
      <c r="H1">
        <f>UPDATE</f>
        <v/>
      </c>
      <c r="J1" s="3" t="n"/>
      <c r="K1" s="3" t="n"/>
      <c r="M1" s="2" t="inlineStr">
        <is>
          <t>SCREENER.IN</t>
        </is>
      </c>
    </row>
    <row r="3" customFormat="1" s="2">
      <c r="A3" s="11" t="inlineStr">
        <is>
          <t>Narration</t>
        </is>
      </c>
      <c r="B3" s="12">
        <f>Data!B16</f>
        <v/>
      </c>
      <c r="C3" s="12">
        <f>Data!C16</f>
        <v/>
      </c>
      <c r="D3" s="12">
        <f>Data!D16</f>
        <v/>
      </c>
      <c r="E3" s="12">
        <f>Data!E16</f>
        <v/>
      </c>
      <c r="F3" s="12">
        <f>Data!F16</f>
        <v/>
      </c>
      <c r="G3" s="12">
        <f>Data!G16</f>
        <v/>
      </c>
      <c r="H3" s="12">
        <f>Data!H16</f>
        <v/>
      </c>
      <c r="I3" s="12">
        <f>Data!I16</f>
        <v/>
      </c>
      <c r="J3" s="12">
        <f>Data!J16</f>
        <v/>
      </c>
      <c r="K3" s="12">
        <f>Data!K16</f>
        <v/>
      </c>
      <c r="L3" s="13" t="inlineStr">
        <is>
          <t>Trailing</t>
        </is>
      </c>
      <c r="M3" s="13" t="inlineStr">
        <is>
          <t>Best Case</t>
        </is>
      </c>
      <c r="N3" s="13" t="inlineStr">
        <is>
          <t>Worst Case</t>
        </is>
      </c>
    </row>
    <row r="4" customFormat="1" s="2">
      <c r="A4" s="2" t="inlineStr">
        <is>
          <t>Sales</t>
        </is>
      </c>
      <c r="B4" s="108">
        <f>Data!B17</f>
        <v/>
      </c>
      <c r="C4" s="108">
        <f>Data!C17</f>
        <v/>
      </c>
      <c r="D4" s="108">
        <f>Data!D17</f>
        <v/>
      </c>
      <c r="E4" s="108">
        <f>Data!E17</f>
        <v/>
      </c>
      <c r="F4" s="108">
        <f>Data!F17</f>
        <v/>
      </c>
      <c r="G4" s="108">
        <f>Data!G17</f>
        <v/>
      </c>
      <c r="H4" s="108">
        <f>Data!H17</f>
        <v/>
      </c>
      <c r="I4" s="108">
        <f>Data!I17</f>
        <v/>
      </c>
      <c r="J4" s="108">
        <f>Data!J17</f>
        <v/>
      </c>
      <c r="K4" s="108">
        <f>Data!K17</f>
        <v/>
      </c>
      <c r="L4" s="108">
        <f>SUM(Quarters!H4:K4)</f>
        <v/>
      </c>
      <c r="M4" s="108">
        <f>$K4+M23*K4</f>
        <v/>
      </c>
      <c r="N4" s="108">
        <f>$K4+N23*L4</f>
        <v/>
      </c>
    </row>
    <row r="5">
      <c r="A5" t="inlineStr">
        <is>
          <t>Expenses</t>
        </is>
      </c>
      <c r="B5" s="109">
        <f>SUM(Data!B18,Data!B20:B24, -1*Data!B19)</f>
        <v/>
      </c>
      <c r="C5" s="109">
        <f>SUM(Data!C18,Data!C20:C24, -1*Data!C19)</f>
        <v/>
      </c>
      <c r="D5" s="109">
        <f>SUM(Data!D18,Data!D20:D24, -1*Data!D19)</f>
        <v/>
      </c>
      <c r="E5" s="109">
        <f>SUM(Data!E18,Data!E20:E24, -1*Data!E19)</f>
        <v/>
      </c>
      <c r="F5" s="109">
        <f>SUM(Data!F18,Data!F20:F24, -1*Data!F19)</f>
        <v/>
      </c>
      <c r="G5" s="109">
        <f>SUM(Data!G18,Data!G20:G24, -1*Data!G19)</f>
        <v/>
      </c>
      <c r="H5" s="109">
        <f>SUM(Data!H18,Data!H20:H24, -1*Data!H19)</f>
        <v/>
      </c>
      <c r="I5" s="109">
        <f>SUM(Data!I18,Data!I20:I24, -1*Data!I19)</f>
        <v/>
      </c>
      <c r="J5" s="109">
        <f>SUM(Data!J18,Data!J20:J24, -1*Data!J19)</f>
        <v/>
      </c>
      <c r="K5" s="109">
        <f>SUM(Data!K18,Data!K20:K24, -1*Data!K19)</f>
        <v/>
      </c>
      <c r="L5" s="109">
        <f>SUM(Quarters!H5:K5)</f>
        <v/>
      </c>
      <c r="M5" s="109">
        <f>M4-M6</f>
        <v/>
      </c>
      <c r="N5" s="109">
        <f>N4-N6</f>
        <v/>
      </c>
    </row>
    <row r="6" customFormat="1" s="2">
      <c r="A6" s="2" t="inlineStr">
        <is>
          <t>Operating Profit</t>
        </is>
      </c>
      <c r="B6" s="108">
        <f>B4-B5</f>
        <v/>
      </c>
      <c r="C6" s="108">
        <f>C4-C5</f>
        <v/>
      </c>
      <c r="D6" s="108">
        <f>D4-D5</f>
        <v/>
      </c>
      <c r="E6" s="108">
        <f>E4-E5</f>
        <v/>
      </c>
      <c r="F6" s="108">
        <f>F4-F5</f>
        <v/>
      </c>
      <c r="G6" s="108">
        <f>G4-G5</f>
        <v/>
      </c>
      <c r="H6" s="108">
        <f>H4-H5</f>
        <v/>
      </c>
      <c r="I6" s="108">
        <f>I4-I5</f>
        <v/>
      </c>
      <c r="J6" s="108">
        <f>J4-J5</f>
        <v/>
      </c>
      <c r="K6" s="108">
        <f>K4-K5</f>
        <v/>
      </c>
      <c r="L6" s="108">
        <f>SUM(Quarters!H6:K6)</f>
        <v/>
      </c>
      <c r="M6" s="108">
        <f>M4*M24</f>
        <v/>
      </c>
      <c r="N6" s="108">
        <f>N4*N24</f>
        <v/>
      </c>
    </row>
    <row r="7">
      <c r="A7" t="inlineStr">
        <is>
          <t>Other Income</t>
        </is>
      </c>
      <c r="B7" s="109">
        <f>Data!B25</f>
        <v/>
      </c>
      <c r="C7" s="109">
        <f>Data!C25</f>
        <v/>
      </c>
      <c r="D7" s="109">
        <f>Data!D25</f>
        <v/>
      </c>
      <c r="E7" s="109">
        <f>Data!E25</f>
        <v/>
      </c>
      <c r="F7" s="109">
        <f>Data!F25</f>
        <v/>
      </c>
      <c r="G7" s="109">
        <f>Data!G25</f>
        <v/>
      </c>
      <c r="H7" s="109">
        <f>Data!H25</f>
        <v/>
      </c>
      <c r="I7" s="109">
        <f>Data!I25</f>
        <v/>
      </c>
      <c r="J7" s="109">
        <f>Data!J25</f>
        <v/>
      </c>
      <c r="K7" s="109">
        <f>Data!K25</f>
        <v/>
      </c>
      <c r="L7" s="109">
        <f>SUM(Quarters!H7:K7)</f>
        <v/>
      </c>
      <c r="M7" s="109" t="n">
        <v>0</v>
      </c>
      <c r="N7" s="109" t="n">
        <v>0</v>
      </c>
    </row>
    <row r="8">
      <c r="A8" t="inlineStr">
        <is>
          <t>Depreciation</t>
        </is>
      </c>
      <c r="B8" s="109">
        <f>Data!B26</f>
        <v/>
      </c>
      <c r="C8" s="109">
        <f>Data!C26</f>
        <v/>
      </c>
      <c r="D8" s="109">
        <f>Data!D26</f>
        <v/>
      </c>
      <c r="E8" s="109">
        <f>Data!E26</f>
        <v/>
      </c>
      <c r="F8" s="109">
        <f>Data!F26</f>
        <v/>
      </c>
      <c r="G8" s="109">
        <f>Data!G26</f>
        <v/>
      </c>
      <c r="H8" s="109">
        <f>Data!H26</f>
        <v/>
      </c>
      <c r="I8" s="109">
        <f>Data!I26</f>
        <v/>
      </c>
      <c r="J8" s="109">
        <f>Data!J26</f>
        <v/>
      </c>
      <c r="K8" s="109">
        <f>Data!K26</f>
        <v/>
      </c>
      <c r="L8" s="109">
        <f>SUM(Quarters!H8:K8)</f>
        <v/>
      </c>
      <c r="M8" s="109">
        <f>+$L8</f>
        <v/>
      </c>
      <c r="N8" s="109">
        <f>+$L8</f>
        <v/>
      </c>
    </row>
    <row r="9">
      <c r="A9" t="inlineStr">
        <is>
          <t>Interest</t>
        </is>
      </c>
      <c r="B9" s="109">
        <f>Data!B27</f>
        <v/>
      </c>
      <c r="C9" s="109">
        <f>Data!C27</f>
        <v/>
      </c>
      <c r="D9" s="109">
        <f>Data!D27</f>
        <v/>
      </c>
      <c r="E9" s="109">
        <f>Data!E27</f>
        <v/>
      </c>
      <c r="F9" s="109">
        <f>Data!F27</f>
        <v/>
      </c>
      <c r="G9" s="109">
        <f>Data!G27</f>
        <v/>
      </c>
      <c r="H9" s="109">
        <f>Data!H27</f>
        <v/>
      </c>
      <c r="I9" s="109">
        <f>Data!I27</f>
        <v/>
      </c>
      <c r="J9" s="109">
        <f>Data!J27</f>
        <v/>
      </c>
      <c r="K9" s="109">
        <f>Data!K27</f>
        <v/>
      </c>
      <c r="L9" s="109">
        <f>SUM(Quarters!H9:K9)</f>
        <v/>
      </c>
      <c r="M9" s="109">
        <f>+$L9</f>
        <v/>
      </c>
      <c r="N9" s="109">
        <f>+$L9</f>
        <v/>
      </c>
    </row>
    <row r="10">
      <c r="A10" t="inlineStr">
        <is>
          <t>Profit before tax</t>
        </is>
      </c>
      <c r="B10" s="109">
        <f>Data!B28</f>
        <v/>
      </c>
      <c r="C10" s="109">
        <f>Data!C28</f>
        <v/>
      </c>
      <c r="D10" s="109">
        <f>Data!D28</f>
        <v/>
      </c>
      <c r="E10" s="109">
        <f>Data!E28</f>
        <v/>
      </c>
      <c r="F10" s="109">
        <f>Data!F28</f>
        <v/>
      </c>
      <c r="G10" s="109">
        <f>Data!G28</f>
        <v/>
      </c>
      <c r="H10" s="109">
        <f>Data!H28</f>
        <v/>
      </c>
      <c r="I10" s="109">
        <f>Data!I28</f>
        <v/>
      </c>
      <c r="J10" s="109">
        <f>Data!J28</f>
        <v/>
      </c>
      <c r="K10" s="109">
        <f>Data!K28</f>
        <v/>
      </c>
      <c r="L10" s="109">
        <f>SUM(Quarters!H10:K10)</f>
        <v/>
      </c>
      <c r="M10" s="109">
        <f>M6+M7-SUM(M8:M9)</f>
        <v/>
      </c>
      <c r="N10" s="109">
        <f>N6+N7-SUM(N8:N9)</f>
        <v/>
      </c>
    </row>
    <row r="11">
      <c r="A11" t="inlineStr">
        <is>
          <t>Tax</t>
        </is>
      </c>
      <c r="B11" s="109">
        <f>Data!B29</f>
        <v/>
      </c>
      <c r="C11" s="109">
        <f>Data!C29</f>
        <v/>
      </c>
      <c r="D11" s="109">
        <f>Data!D29</f>
        <v/>
      </c>
      <c r="E11" s="109">
        <f>Data!E29</f>
        <v/>
      </c>
      <c r="F11" s="109">
        <f>Data!F29</f>
        <v/>
      </c>
      <c r="G11" s="109">
        <f>Data!G29</f>
        <v/>
      </c>
      <c r="H11" s="109">
        <f>Data!H29</f>
        <v/>
      </c>
      <c r="I11" s="109">
        <f>Data!I29</f>
        <v/>
      </c>
      <c r="J11" s="109">
        <f>Data!J29</f>
        <v/>
      </c>
      <c r="K11" s="109">
        <f>Data!K29</f>
        <v/>
      </c>
      <c r="L11" s="109">
        <f>SUM(Quarters!H11:K11)</f>
        <v/>
      </c>
      <c r="M11" s="7">
        <f>IF($L10&gt;0,$L11/$L10,0)</f>
        <v/>
      </c>
      <c r="N11" s="7">
        <f>IF($L10&gt;0,$L11/$L10,0)</f>
        <v/>
      </c>
    </row>
    <row r="12" customFormat="1" s="2">
      <c r="A12" s="2" t="inlineStr">
        <is>
          <t>Net profit</t>
        </is>
      </c>
      <c r="B12" s="108">
        <f>Data!B30</f>
        <v/>
      </c>
      <c r="C12" s="108">
        <f>Data!C30</f>
        <v/>
      </c>
      <c r="D12" s="108">
        <f>Data!D30</f>
        <v/>
      </c>
      <c r="E12" s="108">
        <f>Data!E30</f>
        <v/>
      </c>
      <c r="F12" s="108">
        <f>Data!F30</f>
        <v/>
      </c>
      <c r="G12" s="108">
        <f>Data!G30</f>
        <v/>
      </c>
      <c r="H12" s="108">
        <f>Data!H30</f>
        <v/>
      </c>
      <c r="I12" s="108">
        <f>Data!I30</f>
        <v/>
      </c>
      <c r="J12" s="108">
        <f>Data!J30</f>
        <v/>
      </c>
      <c r="K12" s="108">
        <f>Data!K30</f>
        <v/>
      </c>
      <c r="L12" s="108">
        <f>SUM(Quarters!H12:K12)</f>
        <v/>
      </c>
      <c r="M12" s="108">
        <f>M10-M11*M10</f>
        <v/>
      </c>
      <c r="N12" s="108">
        <f>N10-N11*N10</f>
        <v/>
      </c>
    </row>
    <row r="13">
      <c r="A13" t="inlineStr">
        <is>
          <t>EPS</t>
        </is>
      </c>
      <c r="B13" s="109">
        <f>IF(Data!B93&gt;0,B12/Data!B93,0)</f>
        <v/>
      </c>
      <c r="C13" s="109">
        <f>IF(Data!C93&gt;0,C12/Data!C93,0)</f>
        <v/>
      </c>
      <c r="D13" s="109">
        <f>IF(Data!D93&gt;0,D12/Data!D93,0)</f>
        <v/>
      </c>
      <c r="E13" s="109">
        <f>IF(Data!E93&gt;0,E12/Data!E93,0)</f>
        <v/>
      </c>
      <c r="F13" s="109">
        <f>IF(Data!F93&gt;0,F12/Data!F93,0)</f>
        <v/>
      </c>
      <c r="G13" s="109">
        <f>IF(Data!G93&gt;0,G12/Data!G93,0)</f>
        <v/>
      </c>
      <c r="H13" s="109">
        <f>IF(Data!H93&gt;0,H12/Data!H93,0)</f>
        <v/>
      </c>
      <c r="I13" s="109">
        <f>IF(Data!I93&gt;0,I12/Data!I93,0)</f>
        <v/>
      </c>
      <c r="J13" s="109">
        <f>IF(Data!J93&gt;0,J12/Data!J93,0)</f>
        <v/>
      </c>
      <c r="K13" s="109">
        <f>IF(Data!K93&gt;0,K12/Data!K93,0)</f>
        <v/>
      </c>
      <c r="L13" s="109">
        <f>IF(Data!$B6&gt;0,'Profit &amp; Loss'!L12/Data!$B6,0)</f>
        <v/>
      </c>
      <c r="M13" s="109">
        <f>IF(Data!$B6&gt;0,'Profit &amp; Loss'!M12/Data!$B6,0)</f>
        <v/>
      </c>
      <c r="N13" s="109">
        <f>IF(Data!$B6&gt;0,'Profit &amp; Loss'!N12/Data!$B6,0)</f>
        <v/>
      </c>
    </row>
    <row r="14">
      <c r="A14" t="inlineStr">
        <is>
          <t>Price to earning</t>
        </is>
      </c>
      <c r="B14" s="109">
        <f>IF(B15&gt;0,B15/B13,"")</f>
        <v/>
      </c>
      <c r="C14" s="109">
        <f>IF(C15&gt;0,C15/C13,"")</f>
        <v/>
      </c>
      <c r="D14" s="109">
        <f>IF(D15&gt;0,D15/D13,"")</f>
        <v/>
      </c>
      <c r="E14" s="109">
        <f>IF(E15&gt;0,E15/E13,"")</f>
        <v/>
      </c>
      <c r="F14" s="109">
        <f>IF(F15&gt;0,F15/F13,"")</f>
        <v/>
      </c>
      <c r="G14" s="109">
        <f>IF(G15&gt;0,G15/G13,"")</f>
        <v/>
      </c>
      <c r="H14" s="109">
        <f>IF(H15&gt;0,H15/H13,"")</f>
        <v/>
      </c>
      <c r="I14" s="109">
        <f>IF(I15&gt;0,I15/I13,"")</f>
        <v/>
      </c>
      <c r="J14" s="109">
        <f>IF(J15&gt;0,J15/J13,"")</f>
        <v/>
      </c>
      <c r="K14" s="109">
        <f>IF(K15&gt;0,K15/K13,"")</f>
        <v/>
      </c>
      <c r="L14" s="109">
        <f>IF(L13&gt;0,L15/L13,0)</f>
        <v/>
      </c>
      <c r="M14" s="109">
        <f>M25</f>
        <v/>
      </c>
      <c r="N14" s="109">
        <f>N25</f>
        <v/>
      </c>
    </row>
    <row r="15" customFormat="1" s="2">
      <c r="A15" s="2" t="inlineStr">
        <is>
          <t>Price</t>
        </is>
      </c>
      <c r="B15" s="108">
        <f>Data!B90</f>
        <v/>
      </c>
      <c r="C15" s="108">
        <f>Data!C90</f>
        <v/>
      </c>
      <c r="D15" s="108">
        <f>Data!D90</f>
        <v/>
      </c>
      <c r="E15" s="108">
        <f>Data!E90</f>
        <v/>
      </c>
      <c r="F15" s="108">
        <f>Data!F90</f>
        <v/>
      </c>
      <c r="G15" s="108">
        <f>Data!G90</f>
        <v/>
      </c>
      <c r="H15" s="108">
        <f>Data!H90</f>
        <v/>
      </c>
      <c r="I15" s="108">
        <f>Data!I90</f>
        <v/>
      </c>
      <c r="J15" s="108">
        <f>Data!J90</f>
        <v/>
      </c>
      <c r="K15" s="108">
        <f>Data!K90</f>
        <v/>
      </c>
      <c r="L15" s="108">
        <f>Data!B8</f>
        <v/>
      </c>
      <c r="M15" s="110">
        <f>M13*M14</f>
        <v/>
      </c>
      <c r="N15" s="111">
        <f>N13*N14</f>
        <v/>
      </c>
    </row>
    <row r="17" customFormat="1" s="2">
      <c r="A17" s="2" t="inlineStr">
        <is>
          <t>RATIOS:</t>
        </is>
      </c>
    </row>
    <row r="18">
      <c r="A18" t="inlineStr">
        <is>
          <t>Dividend Payout</t>
        </is>
      </c>
      <c r="B18" s="5">
        <f>IF(Data!B30&gt;0, Data!B31/Data!B30, 0)</f>
        <v/>
      </c>
      <c r="C18" s="5">
        <f>IF(Data!C30&gt;0, Data!C31/Data!C30, 0)</f>
        <v/>
      </c>
      <c r="D18" s="5">
        <f>IF(Data!D30&gt;0, Data!D31/Data!D30, 0)</f>
        <v/>
      </c>
      <c r="E18" s="5">
        <f>IF(Data!E30&gt;0, Data!E31/Data!E30, 0)</f>
        <v/>
      </c>
      <c r="F18" s="5">
        <f>IF(Data!F30&gt;0, Data!F31/Data!F30, 0)</f>
        <v/>
      </c>
      <c r="G18" s="5">
        <f>IF(Data!G30&gt;0, Data!G31/Data!G30, 0)</f>
        <v/>
      </c>
      <c r="H18" s="5">
        <f>IF(Data!H30&gt;0, Data!H31/Data!H30, 0)</f>
        <v/>
      </c>
      <c r="I18" s="5">
        <f>IF(Data!I30&gt;0, Data!I31/Data!I30, 0)</f>
        <v/>
      </c>
      <c r="J18" s="5">
        <f>IF(Data!J30&gt;0, Data!J31/Data!J30, 0)</f>
        <v/>
      </c>
      <c r="K18" s="5">
        <f>IF(Data!K30&gt;0, Data!K31/Data!K30, 0)</f>
        <v/>
      </c>
    </row>
    <row r="19">
      <c r="A19" t="inlineStr">
        <is>
          <t>OPM</t>
        </is>
      </c>
      <c r="B19" s="5">
        <f>IF(B6&gt;0,B6/B4,0)</f>
        <v/>
      </c>
      <c r="C19" s="5">
        <f>IF(C6&gt;0,C6/C4,0)</f>
        <v/>
      </c>
      <c r="D19" s="5">
        <f>IF(D6&gt;0,D6/D4,0)</f>
        <v/>
      </c>
      <c r="E19" s="5">
        <f>IF(E6&gt;0,E6/E4,0)</f>
        <v/>
      </c>
      <c r="F19" s="5">
        <f>IF(F6&gt;0,F6/F4,0)</f>
        <v/>
      </c>
      <c r="G19" s="5">
        <f>IF(G6&gt;0,G6/G4,0)</f>
        <v/>
      </c>
      <c r="H19" s="5">
        <f>IF(H6&gt;0,H6/H4,0)</f>
        <v/>
      </c>
      <c r="I19" s="5">
        <f>IF(I6&gt;0,I6/I4,0)</f>
        <v/>
      </c>
      <c r="J19" s="5">
        <f>IF(J6&gt;0,J6/J4,0)</f>
        <v/>
      </c>
      <c r="K19" s="5">
        <f>IF(K6&gt;0,K6/K4,0)</f>
        <v/>
      </c>
      <c r="L19" s="5">
        <f>IF(L6&gt;0,L6/L4,0)</f>
        <v/>
      </c>
    </row>
    <row r="20">
      <c r="B20" s="5" t="n"/>
      <c r="C20" s="5" t="n"/>
      <c r="D20" s="5" t="n"/>
      <c r="E20" s="5" t="n"/>
      <c r="F20" s="5" t="n"/>
      <c r="G20" s="5" t="n"/>
      <c r="H20" s="5" t="n"/>
      <c r="I20" s="5" t="n"/>
      <c r="J20" s="5" t="n"/>
      <c r="K20" s="5" t="n"/>
      <c r="L20" s="5" t="n"/>
    </row>
    <row r="21">
      <c r="B21" s="5" t="n"/>
      <c r="C21" s="5" t="n"/>
      <c r="D21" s="5" t="n"/>
      <c r="E21" s="5" t="n"/>
      <c r="F21" s="5" t="n"/>
      <c r="G21" s="5" t="n"/>
      <c r="H21" s="5" t="n"/>
      <c r="I21" s="5" t="n"/>
      <c r="J21" s="5" t="n"/>
      <c r="K21" s="5" t="n"/>
      <c r="L21" s="5" t="n"/>
    </row>
    <row r="22" customFormat="1" s="2">
      <c r="A22" s="11" t="n"/>
      <c r="B22" s="12" t="n"/>
      <c r="C22" s="12" t="n"/>
      <c r="D22" s="12" t="n"/>
      <c r="E22" s="12" t="n"/>
      <c r="F22" s="12" t="n"/>
      <c r="G22" s="12" t="inlineStr">
        <is>
          <t>TRENDS:</t>
        </is>
      </c>
      <c r="H22" s="12" t="inlineStr">
        <is>
          <t>10 YEARS</t>
        </is>
      </c>
      <c r="I22" s="12" t="inlineStr">
        <is>
          <t>7 YEARS</t>
        </is>
      </c>
      <c r="J22" s="12" t="inlineStr">
        <is>
          <t>5 YEARS</t>
        </is>
      </c>
      <c r="K22" s="12" t="inlineStr">
        <is>
          <t>3 YEARS</t>
        </is>
      </c>
      <c r="L22" s="13" t="inlineStr">
        <is>
          <t>RECENT</t>
        </is>
      </c>
      <c r="M22" s="13" t="inlineStr">
        <is>
          <t>BEST</t>
        </is>
      </c>
      <c r="N22" s="13" t="inlineStr">
        <is>
          <t>WORST</t>
        </is>
      </c>
    </row>
    <row r="23" customFormat="1" s="2">
      <c r="G23" t="inlineStr">
        <is>
          <t>Sales Growth</t>
        </is>
      </c>
      <c r="H23" s="5">
        <f>IF(B4=0,"",POWER($K4/B4,1/9)-1)</f>
        <v/>
      </c>
      <c r="I23" s="5">
        <f>IF(D4=0,"",POWER($K4/D4,1/7)-1)</f>
        <v/>
      </c>
      <c r="J23" s="5">
        <f>IF(F4=0,"",POWER($K4/F4,1/5)-1)</f>
        <v/>
      </c>
      <c r="K23" s="5">
        <f>IF(H4=0,"",POWER($K4/H4, 1/3)-1)</f>
        <v/>
      </c>
      <c r="L23" s="5">
        <f>IF(ISERROR(MAX(IF(J4=0,"",(K4-J4)/J4),IF(K4=0,"",(L4-K4)/K4))),"",MAX(IF(J4=0,"",(K4-J4)/J4),IF(K4=0,"",(L4-K4)/K4)))</f>
        <v/>
      </c>
      <c r="M23" s="16">
        <f>MAX(K23:L23)</f>
        <v/>
      </c>
      <c r="N23" s="16">
        <f>MIN(H23:L23)</f>
        <v/>
      </c>
    </row>
    <row r="24">
      <c r="G24" t="inlineStr">
        <is>
          <t>OPM</t>
        </is>
      </c>
      <c r="H24" s="5">
        <f>IF(SUM(B4:$K$4)=0,"",SUMPRODUCT(B19:$K$19,B4:$K$4)/SUM(B4:$K$4))</f>
        <v/>
      </c>
      <c r="I24" s="5">
        <f>IF(SUM(E4:$K$4)=0,"",SUMPRODUCT(E19:$K$19,E4:$K$4)/SUM(E4:$K$4))</f>
        <v/>
      </c>
      <c r="J24" s="5">
        <f>IF(SUM(G4:$K$4)=0,"",SUMPRODUCT(G19:$K$19,G4:$K$4)/SUM(G4:$K$4))</f>
        <v/>
      </c>
      <c r="K24" s="5">
        <f>IF(SUM(I4:$K$4)=0, "", SUMPRODUCT(I19:$K$19,I4:$K$4)/SUM(I4:$K$4))</f>
        <v/>
      </c>
      <c r="L24" s="5">
        <f>L19</f>
        <v/>
      </c>
      <c r="M24" s="16">
        <f>MAX(K24:L24)</f>
        <v/>
      </c>
      <c r="N24" s="16">
        <f>MIN(H24:L24)</f>
        <v/>
      </c>
    </row>
    <row r="25">
      <c r="G25" t="inlineStr">
        <is>
          <t>Price to Earning</t>
        </is>
      </c>
      <c r="H25" s="109">
        <f>IF(ISERROR(AVERAGEIF(B14:$L14,"&gt;0")),"",AVERAGEIF(B14:$L14,"&gt;0"))</f>
        <v/>
      </c>
      <c r="I25" s="109">
        <f>IF(ISERROR(AVERAGEIF(E14:$L14,"&gt;0")),"",AVERAGEIF(E14:$L14,"&gt;0"))</f>
        <v/>
      </c>
      <c r="J25" s="109">
        <f>IF(ISERROR(AVERAGEIF(G14:$L14,"&gt;0")),"",AVERAGEIF(G14:$L14,"&gt;0"))</f>
        <v/>
      </c>
      <c r="K25" s="109">
        <f>IF(ISERROR(AVERAGEIF(I14:$L14,"&gt;0")),"",AVERAGEIF(I14:$L14,"&gt;0"))</f>
        <v/>
      </c>
      <c r="L25" s="109">
        <f>L14</f>
        <v/>
      </c>
      <c r="M25" s="108">
        <f>MAX(K25:L25)</f>
        <v/>
      </c>
      <c r="N25" s="108">
        <f>MIN(H25:L25)</f>
        <v/>
      </c>
    </row>
  </sheetData>
  <hyperlinks>
    <hyperlink xmlns:r="http://schemas.openxmlformats.org/officeDocument/2006/relationships" ref="M1" r:id="rId1"/>
  </hyperlinks>
  <printOptions gridLines="1"/>
  <pageMargins left="0.7" right="0.7" top="0.75" bottom="0.75" header="0.3" footer="0.3"/>
  <pageSetup orientation="landscape" paperSize="9" horizontalDpi="300" verticalDpi="300"/>
  <tableParts count="1">
    <tablePart xmlns:r="http://schemas.openxmlformats.org/officeDocument/2006/relationships" r:id="rId2"/>
  </tableParts>
</worksheet>
</file>

<file path=xl/worksheets/sheet2.xml><?xml version="1.0" encoding="utf-8"?>
<worksheet xmlns="http://schemas.openxmlformats.org/spreadsheetml/2006/main">
  <sheetPr codeName="Sheet4">
    <outlinePr summaryBelow="1" summaryRight="1"/>
    <pageSetUpPr fitToPage="1"/>
  </sheetPr>
  <dimension ref="A1:K14"/>
  <sheetViews>
    <sheetView zoomScale="150" workbookViewId="0">
      <pane xSplit="1" ySplit="3" topLeftCell="D4" activePane="bottomRight" state="frozen"/>
      <selection pane="topRight" activeCell="B1" sqref="B1"/>
      <selection pane="bottomLeft" activeCell="A4" sqref="A4"/>
      <selection pane="bottomRight" activeCell="K5" sqref="K5"/>
    </sheetView>
  </sheetViews>
  <sheetFormatPr baseColWidth="8" defaultColWidth="8.77734375" defaultRowHeight="14.4"/>
  <cols>
    <col width="20.6640625" customWidth="1" min="1" max="1"/>
    <col width="13.44140625" bestFit="1" customWidth="1" min="2" max="11"/>
  </cols>
  <sheetData>
    <row r="1" customFormat="1" s="2">
      <c r="A1" s="2">
        <f>'Profit &amp; Loss'!A1</f>
        <v/>
      </c>
      <c r="E1">
        <f>UPDATE</f>
        <v/>
      </c>
      <c r="J1" s="2" t="inlineStr">
        <is>
          <t>SCREENER.IN</t>
        </is>
      </c>
    </row>
    <row r="3" customFormat="1" s="2">
      <c r="A3" s="11" t="inlineStr">
        <is>
          <t>Narration</t>
        </is>
      </c>
      <c r="B3" s="12">
        <f>Data!B41</f>
        <v/>
      </c>
      <c r="C3" s="12">
        <f>Data!C41</f>
        <v/>
      </c>
      <c r="D3" s="12">
        <f>Data!D41</f>
        <v/>
      </c>
      <c r="E3" s="12">
        <f>Data!E41</f>
        <v/>
      </c>
      <c r="F3" s="12">
        <f>Data!F41</f>
        <v/>
      </c>
      <c r="G3" s="12">
        <f>Data!G41</f>
        <v/>
      </c>
      <c r="H3" s="12">
        <f>Data!H41</f>
        <v/>
      </c>
      <c r="I3" s="12">
        <f>Data!I41</f>
        <v/>
      </c>
      <c r="J3" s="12">
        <f>Data!J41</f>
        <v/>
      </c>
      <c r="K3" s="12">
        <f>Data!K41</f>
        <v/>
      </c>
    </row>
    <row r="4" customFormat="1" s="2">
      <c r="A4" s="2" t="inlineStr">
        <is>
          <t>Sales</t>
        </is>
      </c>
      <c r="B4" s="108">
        <f>Data!B42</f>
        <v/>
      </c>
      <c r="C4" s="108">
        <f>Data!C42</f>
        <v/>
      </c>
      <c r="D4" s="108">
        <f>Data!D42</f>
        <v/>
      </c>
      <c r="E4" s="108">
        <f>Data!E42</f>
        <v/>
      </c>
      <c r="F4" s="108">
        <f>Data!F42</f>
        <v/>
      </c>
      <c r="G4" s="108">
        <f>Data!G42</f>
        <v/>
      </c>
      <c r="H4" s="108">
        <f>Data!H42</f>
        <v/>
      </c>
      <c r="I4" s="108">
        <f>Data!I42</f>
        <v/>
      </c>
      <c r="J4" s="108">
        <f>Data!J42</f>
        <v/>
      </c>
      <c r="K4" s="108">
        <f>Data!K42</f>
        <v/>
      </c>
    </row>
    <row r="5">
      <c r="A5" t="inlineStr">
        <is>
          <t>Expenses</t>
        </is>
      </c>
      <c r="B5" s="109">
        <f>Data!B43</f>
        <v/>
      </c>
      <c r="C5" s="109">
        <f>Data!C43</f>
        <v/>
      </c>
      <c r="D5" s="109">
        <f>Data!D43</f>
        <v/>
      </c>
      <c r="E5" s="109">
        <f>Data!E43</f>
        <v/>
      </c>
      <c r="F5" s="109">
        <f>Data!F43</f>
        <v/>
      </c>
      <c r="G5" s="109">
        <f>Data!G43</f>
        <v/>
      </c>
      <c r="H5" s="109">
        <f>Data!H43</f>
        <v/>
      </c>
      <c r="I5" s="109">
        <f>Data!I43</f>
        <v/>
      </c>
      <c r="J5" s="109">
        <f>Data!J43</f>
        <v/>
      </c>
      <c r="K5" s="109">
        <f>Data!K43</f>
        <v/>
      </c>
    </row>
    <row r="6" customFormat="1" s="2">
      <c r="A6" s="2" t="inlineStr">
        <is>
          <t>Operating Profit</t>
        </is>
      </c>
      <c r="B6" s="108">
        <f>Data!B50</f>
        <v/>
      </c>
      <c r="C6" s="108">
        <f>Data!C50</f>
        <v/>
      </c>
      <c r="D6" s="108">
        <f>Data!D50</f>
        <v/>
      </c>
      <c r="E6" s="108">
        <f>Data!E50</f>
        <v/>
      </c>
      <c r="F6" s="108">
        <f>Data!F50</f>
        <v/>
      </c>
      <c r="G6" s="108">
        <f>Data!G50</f>
        <v/>
      </c>
      <c r="H6" s="108">
        <f>Data!H50</f>
        <v/>
      </c>
      <c r="I6" s="108">
        <f>Data!I50</f>
        <v/>
      </c>
      <c r="J6" s="108">
        <f>Data!J50</f>
        <v/>
      </c>
      <c r="K6" s="108">
        <f>Data!K50</f>
        <v/>
      </c>
    </row>
    <row r="7">
      <c r="A7" t="inlineStr">
        <is>
          <t>Other Income</t>
        </is>
      </c>
      <c r="B7" s="109">
        <f>Data!B44</f>
        <v/>
      </c>
      <c r="C7" s="109">
        <f>Data!C44</f>
        <v/>
      </c>
      <c r="D7" s="109">
        <f>Data!D44</f>
        <v/>
      </c>
      <c r="E7" s="109">
        <f>Data!E44</f>
        <v/>
      </c>
      <c r="F7" s="109">
        <f>Data!F44</f>
        <v/>
      </c>
      <c r="G7" s="109">
        <f>Data!G44</f>
        <v/>
      </c>
      <c r="H7" s="109">
        <f>Data!H44</f>
        <v/>
      </c>
      <c r="I7" s="109">
        <f>Data!I44</f>
        <v/>
      </c>
      <c r="J7" s="109">
        <f>Data!J44</f>
        <v/>
      </c>
      <c r="K7" s="109">
        <f>Data!K44</f>
        <v/>
      </c>
    </row>
    <row r="8">
      <c r="A8" t="inlineStr">
        <is>
          <t>Depreciation</t>
        </is>
      </c>
      <c r="B8" s="109">
        <f>Data!B45</f>
        <v/>
      </c>
      <c r="C8" s="109">
        <f>Data!C45</f>
        <v/>
      </c>
      <c r="D8" s="109">
        <f>Data!D45</f>
        <v/>
      </c>
      <c r="E8" s="109">
        <f>Data!E45</f>
        <v/>
      </c>
      <c r="F8" s="109">
        <f>Data!F45</f>
        <v/>
      </c>
      <c r="G8" s="109">
        <f>Data!G45</f>
        <v/>
      </c>
      <c r="H8" s="109">
        <f>Data!H45</f>
        <v/>
      </c>
      <c r="I8" s="109">
        <f>Data!I45</f>
        <v/>
      </c>
      <c r="J8" s="109">
        <f>Data!J45</f>
        <v/>
      </c>
      <c r="K8" s="109">
        <f>Data!K45</f>
        <v/>
      </c>
    </row>
    <row r="9">
      <c r="A9" t="inlineStr">
        <is>
          <t>Interest</t>
        </is>
      </c>
      <c r="B9" s="109">
        <f>Data!B46</f>
        <v/>
      </c>
      <c r="C9" s="109">
        <f>Data!C46</f>
        <v/>
      </c>
      <c r="D9" s="109">
        <f>Data!D46</f>
        <v/>
      </c>
      <c r="E9" s="109">
        <f>Data!E46</f>
        <v/>
      </c>
      <c r="F9" s="109">
        <f>Data!F46</f>
        <v/>
      </c>
      <c r="G9" s="109">
        <f>Data!G46</f>
        <v/>
      </c>
      <c r="H9" s="109">
        <f>Data!H46</f>
        <v/>
      </c>
      <c r="I9" s="109">
        <f>Data!I46</f>
        <v/>
      </c>
      <c r="J9" s="109">
        <f>Data!J46</f>
        <v/>
      </c>
      <c r="K9" s="109">
        <f>Data!K46</f>
        <v/>
      </c>
    </row>
    <row r="10">
      <c r="A10" t="inlineStr">
        <is>
          <t>Profit before tax</t>
        </is>
      </c>
      <c r="B10" s="109">
        <f>Data!B47</f>
        <v/>
      </c>
      <c r="C10" s="109">
        <f>Data!C47</f>
        <v/>
      </c>
      <c r="D10" s="109">
        <f>Data!D47</f>
        <v/>
      </c>
      <c r="E10" s="109">
        <f>Data!E47</f>
        <v/>
      </c>
      <c r="F10" s="109">
        <f>Data!F47</f>
        <v/>
      </c>
      <c r="G10" s="109">
        <f>Data!G47</f>
        <v/>
      </c>
      <c r="H10" s="109">
        <f>Data!H47</f>
        <v/>
      </c>
      <c r="I10" s="109">
        <f>Data!I47</f>
        <v/>
      </c>
      <c r="J10" s="109">
        <f>Data!J47</f>
        <v/>
      </c>
      <c r="K10" s="109">
        <f>Data!K47</f>
        <v/>
      </c>
    </row>
    <row r="11">
      <c r="A11" t="inlineStr">
        <is>
          <t>Tax</t>
        </is>
      </c>
      <c r="B11" s="109">
        <f>Data!B48</f>
        <v/>
      </c>
      <c r="C11" s="109">
        <f>Data!C48</f>
        <v/>
      </c>
      <c r="D11" s="109">
        <f>Data!D48</f>
        <v/>
      </c>
      <c r="E11" s="109">
        <f>Data!E48</f>
        <v/>
      </c>
      <c r="F11" s="109">
        <f>Data!F48</f>
        <v/>
      </c>
      <c r="G11" s="109">
        <f>Data!G48</f>
        <v/>
      </c>
      <c r="H11" s="109">
        <f>Data!H48</f>
        <v/>
      </c>
      <c r="I11" s="109">
        <f>Data!I48</f>
        <v/>
      </c>
      <c r="J11" s="109">
        <f>Data!J48</f>
        <v/>
      </c>
      <c r="K11" s="109">
        <f>Data!K48</f>
        <v/>
      </c>
    </row>
    <row r="12" customFormat="1" s="2">
      <c r="A12" s="2" t="inlineStr">
        <is>
          <t>Net profit</t>
        </is>
      </c>
      <c r="B12" s="108">
        <f>Data!B49</f>
        <v/>
      </c>
      <c r="C12" s="108">
        <f>Data!C49</f>
        <v/>
      </c>
      <c r="D12" s="108">
        <f>Data!D49</f>
        <v/>
      </c>
      <c r="E12" s="108">
        <f>Data!E49</f>
        <v/>
      </c>
      <c r="F12" s="108">
        <f>Data!F49</f>
        <v/>
      </c>
      <c r="G12" s="108">
        <f>Data!G49</f>
        <v/>
      </c>
      <c r="H12" s="108">
        <f>Data!H49</f>
        <v/>
      </c>
      <c r="I12" s="108">
        <f>Data!I49</f>
        <v/>
      </c>
      <c r="J12" s="108">
        <f>Data!J49</f>
        <v/>
      </c>
      <c r="K12" s="108">
        <f>Data!K49</f>
        <v/>
      </c>
    </row>
    <row r="14" customFormat="1" s="2">
      <c r="A14" s="2" t="inlineStr">
        <is>
          <t>OPM</t>
        </is>
      </c>
      <c r="B14" s="10">
        <f>IF(B4&gt;0,B6/B4,"")</f>
        <v/>
      </c>
      <c r="C14" s="10">
        <f>IF(C4&gt;0,C6/C4,"")</f>
        <v/>
      </c>
      <c r="D14" s="10">
        <f>IF(D4&gt;0,D6/D4,"")</f>
        <v/>
      </c>
      <c r="E14" s="10">
        <f>IF(E4&gt;0,E6/E4,"")</f>
        <v/>
      </c>
      <c r="F14" s="10">
        <f>IF(F4&gt;0,F6/F4,"")</f>
        <v/>
      </c>
      <c r="G14" s="10">
        <f>IF(G4&gt;0,G6/G4,"")</f>
        <v/>
      </c>
      <c r="H14" s="10">
        <f>IF(H4&gt;0,H6/H4,"")</f>
        <v/>
      </c>
      <c r="I14" s="10">
        <f>IF(I4&gt;0,I6/I4,"")</f>
        <v/>
      </c>
      <c r="J14" s="10">
        <f>IF(J4&gt;0,J6/J4,"")</f>
        <v/>
      </c>
      <c r="K14" s="10">
        <f>IF(K4&gt;0,K6/K4,"")</f>
        <v/>
      </c>
    </row>
    <row r="22" customFormat="1" s="23"/>
  </sheetData>
  <hyperlinks>
    <hyperlink xmlns:r="http://schemas.openxmlformats.org/officeDocument/2006/relationships" ref="J1" r:id="rId1"/>
  </hyperlinks>
  <printOptions gridLines="1"/>
  <pageMargins left="0.7" right="0.7" top="0.75" bottom="0.75" header="0.3" footer="0.3"/>
  <pageSetup orientation="landscape" paperSize="9" scale="83" horizontalDpi="300" verticalDpi="300"/>
  <tableParts count="1">
    <tablePart xmlns:r="http://schemas.openxmlformats.org/officeDocument/2006/relationships" r:id="rId2"/>
  </tableParts>
</worksheet>
</file>

<file path=xl/worksheets/sheet3.xml><?xml version="1.0" encoding="utf-8"?>
<worksheet xmlns="http://schemas.openxmlformats.org/spreadsheetml/2006/main">
  <sheetPr codeName="Sheet2">
    <outlinePr summaryBelow="1" summaryRight="1"/>
    <pageSetUpPr fitToPage="1"/>
  </sheetPr>
  <dimension ref="A1:K24"/>
  <sheetViews>
    <sheetView zoomScale="125" workbookViewId="0">
      <pane xSplit="1" ySplit="3" topLeftCell="E4" activePane="bottomRight" state="frozen"/>
      <selection activeCell="C4" sqref="C4"/>
      <selection pane="topRight" activeCell="C4" sqref="C4"/>
      <selection pane="bottomLeft" activeCell="C4" sqref="C4"/>
      <selection pane="bottomRight" activeCell="K24" sqref="K24"/>
    </sheetView>
  </sheetViews>
  <sheetFormatPr baseColWidth="8" defaultColWidth="8.77734375" defaultRowHeight="14.4"/>
  <cols>
    <col width="22.77734375" bestFit="1" customWidth="1" min="1" max="1"/>
    <col width="13.44140625" customWidth="1" min="2" max="2"/>
    <col width="15.44140625" customWidth="1" min="3" max="11"/>
  </cols>
  <sheetData>
    <row r="1" customFormat="1" s="2">
      <c r="A1" s="2">
        <f>'Profit &amp; Loss'!A1</f>
        <v/>
      </c>
      <c r="E1">
        <f>UPDATE</f>
        <v/>
      </c>
      <c r="J1" s="2" t="inlineStr">
        <is>
          <t>SCREENER.IN</t>
        </is>
      </c>
    </row>
    <row r="2">
      <c r="G2" s="2" t="n"/>
      <c r="H2" s="2" t="n"/>
    </row>
    <row r="3">
      <c r="A3" s="11" t="inlineStr">
        <is>
          <t>Narration</t>
        </is>
      </c>
      <c r="B3" s="12">
        <f>Data!B56</f>
        <v/>
      </c>
      <c r="C3" s="12">
        <f>Data!C56</f>
        <v/>
      </c>
      <c r="D3" s="12">
        <f>Data!D56</f>
        <v/>
      </c>
      <c r="E3" s="12">
        <f>Data!E56</f>
        <v/>
      </c>
      <c r="F3" s="12">
        <f>Data!F56</f>
        <v/>
      </c>
      <c r="G3" s="12">
        <f>Data!G56</f>
        <v/>
      </c>
      <c r="H3" s="12">
        <f>Data!H56</f>
        <v/>
      </c>
      <c r="I3" s="12">
        <f>Data!I56</f>
        <v/>
      </c>
      <c r="J3" s="12">
        <f>Data!J56</f>
        <v/>
      </c>
      <c r="K3" s="12">
        <f>Data!K56</f>
        <v/>
      </c>
    </row>
    <row r="4">
      <c r="A4" t="inlineStr">
        <is>
          <t>Equity Share Capital</t>
        </is>
      </c>
      <c r="B4" s="112">
        <f>Data!B57</f>
        <v/>
      </c>
      <c r="C4" s="112">
        <f>Data!C57</f>
        <v/>
      </c>
      <c r="D4" s="112">
        <f>Data!D57</f>
        <v/>
      </c>
      <c r="E4" s="112">
        <f>Data!E57</f>
        <v/>
      </c>
      <c r="F4" s="112">
        <f>Data!F57</f>
        <v/>
      </c>
      <c r="G4" s="112">
        <f>Data!G57</f>
        <v/>
      </c>
      <c r="H4" s="112">
        <f>Data!H57</f>
        <v/>
      </c>
      <c r="I4" s="112">
        <f>Data!I57</f>
        <v/>
      </c>
      <c r="J4" s="112">
        <f>Data!J57</f>
        <v/>
      </c>
      <c r="K4" s="112">
        <f>Data!K57</f>
        <v/>
      </c>
    </row>
    <row r="5">
      <c r="A5" t="inlineStr">
        <is>
          <t>Reserves</t>
        </is>
      </c>
      <c r="B5" s="112">
        <f>Data!B58</f>
        <v/>
      </c>
      <c r="C5" s="112">
        <f>Data!C58</f>
        <v/>
      </c>
      <c r="D5" s="112">
        <f>Data!D58</f>
        <v/>
      </c>
      <c r="E5" s="112">
        <f>Data!E58</f>
        <v/>
      </c>
      <c r="F5" s="112">
        <f>Data!F58</f>
        <v/>
      </c>
      <c r="G5" s="112">
        <f>Data!G58</f>
        <v/>
      </c>
      <c r="H5" s="112">
        <f>Data!H58</f>
        <v/>
      </c>
      <c r="I5" s="112">
        <f>Data!I58</f>
        <v/>
      </c>
      <c r="J5" s="112">
        <f>Data!J58</f>
        <v/>
      </c>
      <c r="K5" s="112">
        <f>Data!K58</f>
        <v/>
      </c>
    </row>
    <row r="6">
      <c r="A6" t="inlineStr">
        <is>
          <t>Borrowings</t>
        </is>
      </c>
      <c r="B6" s="112">
        <f>Data!B59</f>
        <v/>
      </c>
      <c r="C6" s="112">
        <f>Data!C59</f>
        <v/>
      </c>
      <c r="D6" s="112">
        <f>Data!D59</f>
        <v/>
      </c>
      <c r="E6" s="112">
        <f>Data!E59</f>
        <v/>
      </c>
      <c r="F6" s="112">
        <f>Data!F59</f>
        <v/>
      </c>
      <c r="G6" s="112">
        <f>Data!G59</f>
        <v/>
      </c>
      <c r="H6" s="112">
        <f>Data!H59</f>
        <v/>
      </c>
      <c r="I6" s="112">
        <f>Data!I59</f>
        <v/>
      </c>
      <c r="J6" s="112">
        <f>Data!J59</f>
        <v/>
      </c>
      <c r="K6" s="112">
        <f>Data!K59</f>
        <v/>
      </c>
    </row>
    <row r="7">
      <c r="A7" t="inlineStr">
        <is>
          <t>Other Liabilities</t>
        </is>
      </c>
      <c r="B7" s="112">
        <f>Data!B60</f>
        <v/>
      </c>
      <c r="C7" s="112">
        <f>Data!C60</f>
        <v/>
      </c>
      <c r="D7" s="112">
        <f>Data!D60</f>
        <v/>
      </c>
      <c r="E7" s="112">
        <f>Data!E60</f>
        <v/>
      </c>
      <c r="F7" s="112">
        <f>Data!F60</f>
        <v/>
      </c>
      <c r="G7" s="112">
        <f>Data!G60</f>
        <v/>
      </c>
      <c r="H7" s="112">
        <f>Data!H60</f>
        <v/>
      </c>
      <c r="I7" s="112">
        <f>Data!I60</f>
        <v/>
      </c>
      <c r="J7" s="112">
        <f>Data!J60</f>
        <v/>
      </c>
      <c r="K7" s="112">
        <f>Data!K60</f>
        <v/>
      </c>
    </row>
    <row r="8" customFormat="1" s="2">
      <c r="A8" s="2" t="inlineStr">
        <is>
          <t>Total</t>
        </is>
      </c>
      <c r="B8" s="113">
        <f>Data!B61</f>
        <v/>
      </c>
      <c r="C8" s="113">
        <f>Data!C61</f>
        <v/>
      </c>
      <c r="D8" s="113">
        <f>Data!D61</f>
        <v/>
      </c>
      <c r="E8" s="113">
        <f>Data!E61</f>
        <v/>
      </c>
      <c r="F8" s="113">
        <f>Data!F61</f>
        <v/>
      </c>
      <c r="G8" s="113">
        <f>Data!G61</f>
        <v/>
      </c>
      <c r="H8" s="113">
        <f>Data!H61</f>
        <v/>
      </c>
      <c r="I8" s="113">
        <f>Data!I61</f>
        <v/>
      </c>
      <c r="J8" s="113">
        <f>Data!J61</f>
        <v/>
      </c>
      <c r="K8" s="113">
        <f>Data!K61</f>
        <v/>
      </c>
    </row>
    <row r="9" customFormat="1" s="2">
      <c r="B9" s="113" t="n"/>
      <c r="C9" s="113" t="n"/>
      <c r="D9" s="113" t="n"/>
      <c r="E9" s="113" t="n"/>
      <c r="F9" s="113" t="n"/>
      <c r="G9" s="113" t="n"/>
      <c r="H9" s="113" t="n"/>
      <c r="I9" s="113" t="n"/>
      <c r="J9" s="113" t="n"/>
      <c r="K9" s="113" t="n"/>
    </row>
    <row r="10">
      <c r="A10" t="inlineStr">
        <is>
          <t>Net Block</t>
        </is>
      </c>
      <c r="B10" s="112">
        <f>Data!B62</f>
        <v/>
      </c>
      <c r="C10" s="112">
        <f>Data!C62</f>
        <v/>
      </c>
      <c r="D10" s="112">
        <f>Data!D62</f>
        <v/>
      </c>
      <c r="E10" s="112">
        <f>Data!E62</f>
        <v/>
      </c>
      <c r="F10" s="112">
        <f>Data!F62</f>
        <v/>
      </c>
      <c r="G10" s="112">
        <f>Data!G62</f>
        <v/>
      </c>
      <c r="H10" s="112">
        <f>Data!H62</f>
        <v/>
      </c>
      <c r="I10" s="112">
        <f>Data!I62</f>
        <v/>
      </c>
      <c r="J10" s="112">
        <f>Data!J62</f>
        <v/>
      </c>
      <c r="K10" s="112">
        <f>Data!K62</f>
        <v/>
      </c>
    </row>
    <row r="11">
      <c r="A11" t="inlineStr">
        <is>
          <t>Capital Work in Progress</t>
        </is>
      </c>
      <c r="B11" s="112">
        <f>Data!B63</f>
        <v/>
      </c>
      <c r="C11" s="112">
        <f>Data!C63</f>
        <v/>
      </c>
      <c r="D11" s="112">
        <f>Data!D63</f>
        <v/>
      </c>
      <c r="E11" s="112">
        <f>Data!E63</f>
        <v/>
      </c>
      <c r="F11" s="112">
        <f>Data!F63</f>
        <v/>
      </c>
      <c r="G11" s="112">
        <f>Data!G63</f>
        <v/>
      </c>
      <c r="H11" s="112">
        <f>Data!H63</f>
        <v/>
      </c>
      <c r="I11" s="112">
        <f>Data!I63</f>
        <v/>
      </c>
      <c r="J11" s="112">
        <f>Data!J63</f>
        <v/>
      </c>
      <c r="K11" s="112">
        <f>Data!K63</f>
        <v/>
      </c>
    </row>
    <row r="12">
      <c r="A12" t="inlineStr">
        <is>
          <t>Investments</t>
        </is>
      </c>
      <c r="B12" s="112">
        <f>Data!B64</f>
        <v/>
      </c>
      <c r="C12" s="112">
        <f>Data!C64</f>
        <v/>
      </c>
      <c r="D12" s="112">
        <f>Data!D64</f>
        <v/>
      </c>
      <c r="E12" s="112">
        <f>Data!E64</f>
        <v/>
      </c>
      <c r="F12" s="112">
        <f>Data!F64</f>
        <v/>
      </c>
      <c r="G12" s="112">
        <f>Data!G64</f>
        <v/>
      </c>
      <c r="H12" s="112">
        <f>Data!H64</f>
        <v/>
      </c>
      <c r="I12" s="112">
        <f>Data!I64</f>
        <v/>
      </c>
      <c r="J12" s="112">
        <f>Data!J64</f>
        <v/>
      </c>
      <c r="K12" s="112">
        <f>Data!K64</f>
        <v/>
      </c>
    </row>
    <row r="13">
      <c r="A13" t="inlineStr">
        <is>
          <t>Other Assets</t>
        </is>
      </c>
      <c r="B13" s="112">
        <f>Data!B65</f>
        <v/>
      </c>
      <c r="C13" s="112">
        <f>Data!C65</f>
        <v/>
      </c>
      <c r="D13" s="112">
        <f>Data!D65</f>
        <v/>
      </c>
      <c r="E13" s="112">
        <f>Data!E65</f>
        <v/>
      </c>
      <c r="F13" s="112">
        <f>Data!F65</f>
        <v/>
      </c>
      <c r="G13" s="112">
        <f>Data!G65</f>
        <v/>
      </c>
      <c r="H13" s="112">
        <f>Data!H65</f>
        <v/>
      </c>
      <c r="I13" s="112">
        <f>Data!I65</f>
        <v/>
      </c>
      <c r="J13" s="112">
        <f>Data!J65</f>
        <v/>
      </c>
      <c r="K13" s="112">
        <f>Data!K65</f>
        <v/>
      </c>
    </row>
    <row r="14" customFormat="1" s="2">
      <c r="A14" s="2" t="inlineStr">
        <is>
          <t>Total</t>
        </is>
      </c>
      <c r="B14" s="112">
        <f>Data!B66</f>
        <v/>
      </c>
      <c r="C14" s="112">
        <f>Data!C66</f>
        <v/>
      </c>
      <c r="D14" s="112">
        <f>Data!D66</f>
        <v/>
      </c>
      <c r="E14" s="112">
        <f>Data!E66</f>
        <v/>
      </c>
      <c r="F14" s="112">
        <f>Data!F66</f>
        <v/>
      </c>
      <c r="G14" s="112">
        <f>Data!G66</f>
        <v/>
      </c>
      <c r="H14" s="112">
        <f>Data!H66</f>
        <v/>
      </c>
      <c r="I14" s="112">
        <f>Data!I66</f>
        <v/>
      </c>
      <c r="J14" s="112">
        <f>Data!J66</f>
        <v/>
      </c>
      <c r="K14" s="112">
        <f>Data!K66</f>
        <v/>
      </c>
    </row>
    <row r="15">
      <c r="B15" s="114" t="n"/>
      <c r="C15" s="114" t="n"/>
      <c r="D15" s="114" t="n"/>
      <c r="E15" s="114" t="n"/>
      <c r="F15" s="114" t="n"/>
      <c r="G15" s="114" t="n"/>
      <c r="H15" s="114" t="n"/>
      <c r="I15" s="114" t="n"/>
      <c r="J15" s="114" t="n"/>
      <c r="K15" s="114" t="n"/>
    </row>
    <row r="16">
      <c r="A16" t="inlineStr">
        <is>
          <t>Working Capital</t>
        </is>
      </c>
      <c r="B16" s="114">
        <f>B13-B7</f>
        <v/>
      </c>
      <c r="C16" s="114">
        <f>C13-C7</f>
        <v/>
      </c>
      <c r="D16" s="114">
        <f>D13-D7</f>
        <v/>
      </c>
      <c r="E16" s="114">
        <f>E13-E7</f>
        <v/>
      </c>
      <c r="F16" s="114">
        <f>F13-F7</f>
        <v/>
      </c>
      <c r="G16" s="114">
        <f>G13-G7</f>
        <v/>
      </c>
      <c r="H16" s="114">
        <f>H13-H7</f>
        <v/>
      </c>
      <c r="I16" s="114">
        <f>I13-I7</f>
        <v/>
      </c>
      <c r="J16" s="114">
        <f>J13-J7</f>
        <v/>
      </c>
      <c r="K16" s="114">
        <f>K13-K7</f>
        <v/>
      </c>
    </row>
    <row r="17">
      <c r="A17" t="inlineStr">
        <is>
          <t>Debtors</t>
        </is>
      </c>
      <c r="B17" s="114">
        <f>Data!B67</f>
        <v/>
      </c>
      <c r="C17" s="114">
        <f>Data!C67</f>
        <v/>
      </c>
      <c r="D17" s="114">
        <f>Data!D67</f>
        <v/>
      </c>
      <c r="E17" s="114">
        <f>Data!E67</f>
        <v/>
      </c>
      <c r="F17" s="114">
        <f>Data!F67</f>
        <v/>
      </c>
      <c r="G17" s="114">
        <f>Data!G67</f>
        <v/>
      </c>
      <c r="H17" s="114">
        <f>Data!H67</f>
        <v/>
      </c>
      <c r="I17" s="114">
        <f>Data!I67</f>
        <v/>
      </c>
      <c r="J17" s="114">
        <f>Data!J67</f>
        <v/>
      </c>
      <c r="K17" s="114">
        <f>Data!K67</f>
        <v/>
      </c>
    </row>
    <row r="18">
      <c r="A18" t="inlineStr">
        <is>
          <t>Inventory</t>
        </is>
      </c>
      <c r="B18" s="114">
        <f>Data!B68</f>
        <v/>
      </c>
      <c r="C18" s="114">
        <f>Data!C68</f>
        <v/>
      </c>
      <c r="D18" s="114">
        <f>Data!D68</f>
        <v/>
      </c>
      <c r="E18" s="114">
        <f>Data!E68</f>
        <v/>
      </c>
      <c r="F18" s="114">
        <f>Data!F68</f>
        <v/>
      </c>
      <c r="G18" s="114">
        <f>Data!G68</f>
        <v/>
      </c>
      <c r="H18" s="114">
        <f>Data!H68</f>
        <v/>
      </c>
      <c r="I18" s="114">
        <f>Data!I68</f>
        <v/>
      </c>
      <c r="J18" s="114">
        <f>Data!J68</f>
        <v/>
      </c>
      <c r="K18" s="114">
        <f>Data!K68</f>
        <v/>
      </c>
    </row>
    <row r="20">
      <c r="A20" t="inlineStr">
        <is>
          <t>Debtor Days</t>
        </is>
      </c>
      <c r="B20" s="114">
        <f>IF('Profit &amp; Loss'!B4&gt;0,'Balance Sheet'!B17/('Profit &amp; Loss'!B4/365),0)</f>
        <v/>
      </c>
      <c r="C20" s="114">
        <f>IF('Profit &amp; Loss'!C4&gt;0,'Balance Sheet'!C17/('Profit &amp; Loss'!C4/365),0)</f>
        <v/>
      </c>
      <c r="D20" s="114">
        <f>IF('Profit &amp; Loss'!D4&gt;0,'Balance Sheet'!D17/('Profit &amp; Loss'!D4/365),0)</f>
        <v/>
      </c>
      <c r="E20" s="114">
        <f>IF('Profit &amp; Loss'!E4&gt;0,'Balance Sheet'!E17/('Profit &amp; Loss'!E4/365),0)</f>
        <v/>
      </c>
      <c r="F20" s="114">
        <f>IF('Profit &amp; Loss'!F4&gt;0,'Balance Sheet'!F17/('Profit &amp; Loss'!F4/365),0)</f>
        <v/>
      </c>
      <c r="G20" s="114">
        <f>IF('Profit &amp; Loss'!G4&gt;0,'Balance Sheet'!G17/('Profit &amp; Loss'!G4/365),0)</f>
        <v/>
      </c>
      <c r="H20" s="114">
        <f>IF('Profit &amp; Loss'!H4&gt;0,'Balance Sheet'!H17/('Profit &amp; Loss'!H4/365),0)</f>
        <v/>
      </c>
      <c r="I20" s="114">
        <f>IF('Profit &amp; Loss'!I4&gt;0,'Balance Sheet'!I17/('Profit &amp; Loss'!I4/365),0)</f>
        <v/>
      </c>
      <c r="J20" s="114">
        <f>IF('Profit &amp; Loss'!J4&gt;0,'Balance Sheet'!J17/('Profit &amp; Loss'!J4/365),0)</f>
        <v/>
      </c>
      <c r="K20" s="114">
        <f>IF('Profit &amp; Loss'!K4&gt;0,'Balance Sheet'!K17/('Profit &amp; Loss'!K4/365),0)</f>
        <v/>
      </c>
    </row>
    <row r="21">
      <c r="A21" t="inlineStr">
        <is>
          <t>Inventory Turnover</t>
        </is>
      </c>
      <c r="B21" s="114">
        <f>IF('Balance Sheet'!B18&gt;0,'Profit &amp; Loss'!B4/'Balance Sheet'!B18,0)</f>
        <v/>
      </c>
      <c r="C21" s="114">
        <f>IF('Balance Sheet'!C18&gt;0,'Profit &amp; Loss'!C4/'Balance Sheet'!C18,0)</f>
        <v/>
      </c>
      <c r="D21" s="114">
        <f>IF('Balance Sheet'!D18&gt;0,'Profit &amp; Loss'!D4/'Balance Sheet'!D18,0)</f>
        <v/>
      </c>
      <c r="E21" s="114">
        <f>IF('Balance Sheet'!E18&gt;0,'Profit &amp; Loss'!E4/'Balance Sheet'!E18,0)</f>
        <v/>
      </c>
      <c r="F21" s="114">
        <f>IF('Balance Sheet'!F18&gt;0,'Profit &amp; Loss'!F4/'Balance Sheet'!F18,0)</f>
        <v/>
      </c>
      <c r="G21" s="114">
        <f>IF('Balance Sheet'!G18&gt;0,'Profit &amp; Loss'!G4/'Balance Sheet'!G18,0)</f>
        <v/>
      </c>
      <c r="H21" s="114">
        <f>IF('Balance Sheet'!H18&gt;0,'Profit &amp; Loss'!H4/'Balance Sheet'!H18,0)</f>
        <v/>
      </c>
      <c r="I21" s="114">
        <f>IF('Balance Sheet'!I18&gt;0,'Profit &amp; Loss'!I4/'Balance Sheet'!I18,0)</f>
        <v/>
      </c>
      <c r="J21" s="114">
        <f>IF('Balance Sheet'!J18&gt;0,'Profit &amp; Loss'!J4/'Balance Sheet'!J18,0)</f>
        <v/>
      </c>
      <c r="K21" s="114">
        <f>IF('Balance Sheet'!K18&gt;0,'Profit &amp; Loss'!K4/'Balance Sheet'!K18,0)</f>
        <v/>
      </c>
    </row>
    <row r="23" customFormat="1" s="2">
      <c r="A23" s="2" t="inlineStr">
        <is>
          <t>Return on Equity</t>
        </is>
      </c>
      <c r="B23" s="10">
        <f>IF(SUM('Balance Sheet'!B4:B5)&gt;0,'Profit &amp; Loss'!B12/SUM('Balance Sheet'!B4:B5),"")</f>
        <v/>
      </c>
      <c r="C23" s="10">
        <f>IF(SUM('Balance Sheet'!C4:C5)&gt;0,'Profit &amp; Loss'!C12/SUM('Balance Sheet'!C4:C5),"")</f>
        <v/>
      </c>
      <c r="D23" s="10">
        <f>IF(SUM('Balance Sheet'!D4:D5)&gt;0,'Profit &amp; Loss'!D12/SUM('Balance Sheet'!D4:D5),"")</f>
        <v/>
      </c>
      <c r="E23" s="10">
        <f>IF(SUM('Balance Sheet'!E4:E5)&gt;0,'Profit &amp; Loss'!E12/SUM('Balance Sheet'!E4:E5),"")</f>
        <v/>
      </c>
      <c r="F23" s="10">
        <f>IF(SUM('Balance Sheet'!F4:F5)&gt;0,'Profit &amp; Loss'!F12/SUM('Balance Sheet'!F4:F5),"")</f>
        <v/>
      </c>
      <c r="G23" s="10">
        <f>IF(SUM('Balance Sheet'!G4:G5)&gt;0,'Profit &amp; Loss'!G12/SUM('Balance Sheet'!G4:G5),"")</f>
        <v/>
      </c>
      <c r="H23" s="10">
        <f>IF(SUM('Balance Sheet'!H4:H5)&gt;0,'Profit &amp; Loss'!H12/SUM('Balance Sheet'!H4:H5),"")</f>
        <v/>
      </c>
      <c r="I23" s="10">
        <f>IF(SUM('Balance Sheet'!I4:I5)&gt;0,'Profit &amp; Loss'!I12/SUM('Balance Sheet'!I4:I5),"")</f>
        <v/>
      </c>
      <c r="J23" s="10">
        <f>IF(SUM('Balance Sheet'!J4:J5)&gt;0,'Profit &amp; Loss'!J12/SUM('Balance Sheet'!J4:J5),"")</f>
        <v/>
      </c>
      <c r="K23" s="10">
        <f>IF(SUM('Balance Sheet'!K4:K5)&gt;0,'Profit &amp; Loss'!K12/SUM('Balance Sheet'!K4:K5),"")</f>
        <v/>
      </c>
    </row>
    <row r="24" customFormat="1" s="2">
      <c r="A24" s="2" t="inlineStr">
        <is>
          <t>Return on Capital Emp</t>
        </is>
      </c>
      <c r="B24" s="10" t="n"/>
      <c r="C24" s="10">
        <f>IF((B4+B5+B6+C4+C5+C6)&gt;0,('Profit &amp; Loss'!C10+'Profit &amp; Loss'!C9)*2/(B4+B5+B6+C4+C5+C6),"")</f>
        <v/>
      </c>
      <c r="D24" s="10">
        <f>IF((C4+C5+C6+D4+D5+D6)&gt;0,('Profit &amp; Loss'!D10+'Profit &amp; Loss'!D9)*2/(C4+C5+C6+D4+D5+D6),"")</f>
        <v/>
      </c>
      <c r="E24" s="10">
        <f>IF((D4+D5+D6+E4+E5+E6)&gt;0,('Profit &amp; Loss'!E10+'Profit &amp; Loss'!E9)*2/(D4+D5+D6+E4+E5+E6),"")</f>
        <v/>
      </c>
      <c r="F24" s="10">
        <f>IF((E4+E5+E6+F4+F5+F6)&gt;0,('Profit &amp; Loss'!F10+'Profit &amp; Loss'!F9)*2/(E4+E5+E6+F4+F5+F6),"")</f>
        <v/>
      </c>
      <c r="G24" s="10">
        <f>IF((F4+F5+F6+G4+G5+G6)&gt;0,('Profit &amp; Loss'!G10+'Profit &amp; Loss'!G9)*2/(F4+F5+F6+G4+G5+G6),"")</f>
        <v/>
      </c>
      <c r="H24" s="10">
        <f>IF((G4+G5+G6+H4+H5+H6)&gt;0,('Profit &amp; Loss'!H10+'Profit &amp; Loss'!H9)*2/(G4+G5+G6+H4+H5+H6),"")</f>
        <v/>
      </c>
      <c r="I24" s="10">
        <f>IF((H4+H5+H6+I4+I5+I6)&gt;0,('Profit &amp; Loss'!I10+'Profit &amp; Loss'!I9)*2/(H4+H5+H6+I4+I5+I6),"")</f>
        <v/>
      </c>
      <c r="J24" s="10">
        <f>IF((I4+I5+I6+J4+J5+J6)&gt;0,('Profit &amp; Loss'!J10+'Profit &amp; Loss'!J9)*2/(I4+I5+I6+J4+J5+J6),"")</f>
        <v/>
      </c>
      <c r="K24" s="10">
        <f>IF((J4+J5+J6+K4+K5+K6)&gt;0,('Profit &amp; Loss'!K10+'Profit &amp; Loss'!K9)*2/(J4+J5+J6+K4+K5+K6),"")</f>
        <v/>
      </c>
    </row>
  </sheetData>
  <hyperlinks>
    <hyperlink xmlns:r="http://schemas.openxmlformats.org/officeDocument/2006/relationships" ref="J1" r:id="rId1"/>
  </hyperlinks>
  <printOptions gridLines="1"/>
  <pageMargins left="0.7" right="0.7" top="0.75" bottom="0.75" header="0.3" footer="0.3"/>
  <pageSetup orientation="landscape" paperSize="9" horizontalDpi="0" verticalDpi="0"/>
</worksheet>
</file>

<file path=xl/worksheets/sheet4.xml><?xml version="1.0" encoding="utf-8"?>
<worksheet xmlns="http://schemas.openxmlformats.org/spreadsheetml/2006/main">
  <sheetPr codeName="Sheet3">
    <outlinePr summaryBelow="1" summaryRight="1"/>
    <pageSetUpPr fitToPage="1"/>
  </sheetPr>
  <dimension ref="A1:K8"/>
  <sheetViews>
    <sheetView zoomScale="150" zoomScaleNormal="150" zoomScalePageLayoutView="150" workbookViewId="0">
      <pane xSplit="1" ySplit="3" topLeftCell="E4" activePane="bottomRight" state="frozen"/>
      <selection pane="topRight" activeCell="B1" sqref="B1"/>
      <selection pane="bottomLeft" activeCell="A4" sqref="A4"/>
      <selection pane="bottomRight" activeCell="K5" sqref="K5"/>
    </sheetView>
  </sheetViews>
  <sheetFormatPr baseColWidth="8" defaultColWidth="8.77734375" defaultRowHeight="14.4"/>
  <cols>
    <col width="26.77734375" bestFit="1" customWidth="1" min="1" max="1"/>
    <col width="13.44140625" customWidth="1" min="2" max="6"/>
    <col width="13.44140625" bestFit="1" customWidth="1" min="7" max="11"/>
  </cols>
  <sheetData>
    <row r="1" customFormat="1" s="2">
      <c r="A1" s="2">
        <f>'Balance Sheet'!A1</f>
        <v/>
      </c>
      <c r="E1">
        <f>UPDATE</f>
        <v/>
      </c>
      <c r="J1" s="2" t="inlineStr">
        <is>
          <t>SCREENER.IN</t>
        </is>
      </c>
    </row>
    <row r="3" customFormat="1" s="2">
      <c r="A3" s="11" t="inlineStr">
        <is>
          <t>Narration</t>
        </is>
      </c>
      <c r="B3" s="12">
        <f>Data!B81</f>
        <v/>
      </c>
      <c r="C3" s="12">
        <f>Data!C81</f>
        <v/>
      </c>
      <c r="D3" s="12">
        <f>Data!D81</f>
        <v/>
      </c>
      <c r="E3" s="12">
        <f>Data!E81</f>
        <v/>
      </c>
      <c r="F3" s="12">
        <f>Data!F81</f>
        <v/>
      </c>
      <c r="G3" s="12">
        <f>Data!G81</f>
        <v/>
      </c>
      <c r="H3" s="12">
        <f>Data!H81</f>
        <v/>
      </c>
      <c r="I3" s="12">
        <f>Data!I81</f>
        <v/>
      </c>
      <c r="J3" s="12">
        <f>Data!J81</f>
        <v/>
      </c>
      <c r="K3" s="12">
        <f>Data!K81</f>
        <v/>
      </c>
    </row>
    <row r="4" customFormat="1" s="2">
      <c r="A4" s="2" t="inlineStr">
        <is>
          <t>Cash from Operating Activity</t>
        </is>
      </c>
      <c r="B4" s="108">
        <f>Data!B82</f>
        <v/>
      </c>
      <c r="C4" s="108">
        <f>Data!C82</f>
        <v/>
      </c>
      <c r="D4" s="108">
        <f>Data!D82</f>
        <v/>
      </c>
      <c r="E4" s="108">
        <f>Data!E82</f>
        <v/>
      </c>
      <c r="F4" s="108">
        <f>Data!F82</f>
        <v/>
      </c>
      <c r="G4" s="108">
        <f>Data!G82</f>
        <v/>
      </c>
      <c r="H4" s="108">
        <f>Data!H82</f>
        <v/>
      </c>
      <c r="I4" s="108">
        <f>Data!I82</f>
        <v/>
      </c>
      <c r="J4" s="108">
        <f>Data!J82</f>
        <v/>
      </c>
      <c r="K4" s="108">
        <f>Data!K82</f>
        <v/>
      </c>
    </row>
    <row r="5">
      <c r="A5" t="inlineStr">
        <is>
          <t>Cash from Investing Activity</t>
        </is>
      </c>
      <c r="B5" s="109">
        <f>Data!B83</f>
        <v/>
      </c>
      <c r="C5" s="109">
        <f>Data!C83</f>
        <v/>
      </c>
      <c r="D5" s="109">
        <f>Data!D83</f>
        <v/>
      </c>
      <c r="E5" s="109">
        <f>Data!E83</f>
        <v/>
      </c>
      <c r="F5" s="109">
        <f>Data!F83</f>
        <v/>
      </c>
      <c r="G5" s="109">
        <f>Data!G83</f>
        <v/>
      </c>
      <c r="H5" s="109">
        <f>Data!H83</f>
        <v/>
      </c>
      <c r="I5" s="109">
        <f>Data!I83</f>
        <v/>
      </c>
      <c r="J5" s="109">
        <f>Data!J83</f>
        <v/>
      </c>
      <c r="K5" s="109">
        <f>Data!K83</f>
        <v/>
      </c>
    </row>
    <row r="6">
      <c r="A6" t="inlineStr">
        <is>
          <t>Cash from Financing Activity</t>
        </is>
      </c>
      <c r="B6" s="109">
        <f>Data!B84</f>
        <v/>
      </c>
      <c r="C6" s="109">
        <f>Data!C84</f>
        <v/>
      </c>
      <c r="D6" s="109">
        <f>Data!D84</f>
        <v/>
      </c>
      <c r="E6" s="109">
        <f>Data!E84</f>
        <v/>
      </c>
      <c r="F6" s="109">
        <f>Data!F84</f>
        <v/>
      </c>
      <c r="G6" s="109">
        <f>Data!G84</f>
        <v/>
      </c>
      <c r="H6" s="109">
        <f>Data!H84</f>
        <v/>
      </c>
      <c r="I6" s="109">
        <f>Data!I84</f>
        <v/>
      </c>
      <c r="J6" s="109">
        <f>Data!J84</f>
        <v/>
      </c>
      <c r="K6" s="109">
        <f>Data!K84</f>
        <v/>
      </c>
    </row>
    <row r="7" customFormat="1" s="2">
      <c r="A7" s="2" t="inlineStr">
        <is>
          <t>Net Cash Flow</t>
        </is>
      </c>
      <c r="B7" s="108">
        <f>Data!B85</f>
        <v/>
      </c>
      <c r="C7" s="108">
        <f>Data!C85</f>
        <v/>
      </c>
      <c r="D7" s="108">
        <f>Data!D85</f>
        <v/>
      </c>
      <c r="E7" s="108">
        <f>Data!E85</f>
        <v/>
      </c>
      <c r="F7" s="108">
        <f>Data!F85</f>
        <v/>
      </c>
      <c r="G7" s="108">
        <f>Data!G85</f>
        <v/>
      </c>
      <c r="H7" s="108">
        <f>Data!H85</f>
        <v/>
      </c>
      <c r="I7" s="108">
        <f>Data!I85</f>
        <v/>
      </c>
      <c r="J7" s="108">
        <f>Data!J85</f>
        <v/>
      </c>
      <c r="K7" s="108">
        <f>Data!K85</f>
        <v/>
      </c>
    </row>
    <row r="8">
      <c r="B8" s="109" t="n"/>
      <c r="C8" s="109" t="n"/>
      <c r="D8" s="109" t="n"/>
      <c r="E8" s="109" t="n"/>
      <c r="F8" s="109" t="n"/>
      <c r="G8" s="109" t="n"/>
      <c r="H8" s="109" t="n"/>
      <c r="I8" s="109" t="n"/>
      <c r="J8" s="109" t="n"/>
      <c r="K8" s="109" t="n"/>
    </row>
  </sheetData>
  <hyperlinks>
    <hyperlink xmlns:r="http://schemas.openxmlformats.org/officeDocument/2006/relationships" ref="J1" r:id="rId1"/>
  </hyperlinks>
  <printOptions gridLines="1"/>
  <pageMargins left="0.7" right="0.7" top="0.75" bottom="0.75" header="0.3" footer="0.3"/>
  <pageSetup orientation="landscape" paperSize="9" horizontalDpi="0" verticalDpi="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G16"/>
  <sheetViews>
    <sheetView zoomScale="150" zoomScaleNormal="150" zoomScalePageLayoutView="150" workbookViewId="0">
      <selection activeCell="B16" sqref="B16"/>
    </sheetView>
  </sheetViews>
  <sheetFormatPr baseColWidth="8" defaultColWidth="8.77734375" defaultRowHeight="14.4"/>
  <cols>
    <col width="8.77734375" customWidth="1" style="2" min="1" max="1"/>
    <col width="10.44140625" customWidth="1" min="2" max="2"/>
    <col width="13.33203125" customWidth="1" style="20" min="3" max="3"/>
    <col width="6.77734375" customWidth="1" min="6" max="6"/>
  </cols>
  <sheetData>
    <row r="1" ht="21" customHeight="1">
      <c r="A1" s="19" t="inlineStr">
        <is>
          <t>How to use it?</t>
        </is>
      </c>
    </row>
    <row r="3">
      <c r="A3" s="2" t="inlineStr">
        <is>
          <t>You can customize this workbook as you want.</t>
        </is>
      </c>
    </row>
    <row r="4">
      <c r="B4" t="inlineStr">
        <is>
          <t>You can add custom formating, add conditional formating, add your own formulas… do ANYTHING.</t>
        </is>
      </c>
    </row>
    <row r="5">
      <c r="B5" t="inlineStr">
        <is>
          <t>Please don't edit the "Data Sheet" only.</t>
        </is>
      </c>
    </row>
    <row r="7">
      <c r="A7" s="2" t="inlineStr">
        <is>
          <t>After customization, you can upload this back on Screener.</t>
        </is>
      </c>
    </row>
    <row r="8">
      <c r="B8" t="inlineStr">
        <is>
          <t>Upload on:</t>
        </is>
      </c>
      <c r="C8" s="21" t="inlineStr">
        <is>
          <t xml:space="preserve"> https://www.screener.in/excel/</t>
        </is>
      </c>
    </row>
    <row r="10">
      <c r="A10" s="2" t="inlineStr">
        <is>
          <t>Download your customized workbooks now onwards.</t>
        </is>
      </c>
    </row>
    <row r="11">
      <c r="B11" t="inlineStr">
        <is>
          <t>Now whenever you will "Export to excel" from Screener, it will export your customized file.</t>
        </is>
      </c>
    </row>
    <row r="14">
      <c r="A14" s="2" t="inlineStr">
        <is>
          <t>TESTING:</t>
        </is>
      </c>
    </row>
    <row r="15">
      <c r="B15" t="inlineStr">
        <is>
          <t>This is a testing feature currently.</t>
        </is>
      </c>
    </row>
    <row r="16">
      <c r="B16" t="inlineStr">
        <is>
          <t>You can report any formula errors on the worksheet at: support@screener.in</t>
        </is>
      </c>
      <c r="G16" s="22" t="n"/>
    </row>
  </sheetData>
  <hyperlinks>
    <hyperlink xmlns:r="http://schemas.openxmlformats.org/officeDocument/2006/relationships" ref="C8" display=" http://www.screener.in/excel" r:id="rId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2:Q100"/>
  <sheetViews>
    <sheetView showGridLines="0" zoomScale="82" zoomScaleNormal="102" workbookViewId="0">
      <pane ySplit="3" topLeftCell="A35" activePane="bottomLeft" state="frozen"/>
      <selection pane="bottomLeft" activeCell="L38" sqref="L38"/>
    </sheetView>
  </sheetViews>
  <sheetFormatPr baseColWidth="8" defaultRowHeight="14.4"/>
  <cols>
    <col width="3.6640625" bestFit="1" customWidth="1" min="1" max="1"/>
    <col width="46" bestFit="1" customWidth="1" style="28" min="2" max="2"/>
    <col width="14.5546875" bestFit="1" customWidth="1" style="30" min="3" max="7"/>
    <col width="15" bestFit="1" customWidth="1" style="30" min="8" max="12"/>
    <col width="13.5546875" bestFit="1" customWidth="1" min="13" max="13"/>
    <col width="15.21875" bestFit="1" customWidth="1" min="14" max="14"/>
    <col width="14.33203125" bestFit="1" customWidth="1" min="15" max="16"/>
    <col width="15.21875" bestFit="1" customWidth="1" min="17" max="17"/>
  </cols>
  <sheetData>
    <row r="2">
      <c r="B2" s="105">
        <f>"Historical Financial Statements For " &amp;Data!B1</f>
        <v/>
      </c>
    </row>
    <row r="3">
      <c r="B3" s="26" t="inlineStr">
        <is>
          <t>Year</t>
        </is>
      </c>
      <c r="C3" s="52">
        <f>Data!B16</f>
        <v/>
      </c>
      <c r="D3" s="52">
        <f>Data!C16</f>
        <v/>
      </c>
      <c r="E3" s="52">
        <f>Data!D16</f>
        <v/>
      </c>
      <c r="F3" s="52">
        <f>Data!E16</f>
        <v/>
      </c>
      <c r="G3" s="52">
        <f>Data!F16</f>
        <v/>
      </c>
      <c r="H3" s="52">
        <f>Data!G16</f>
        <v/>
      </c>
      <c r="I3" s="52">
        <f>Data!H16</f>
        <v/>
      </c>
      <c r="J3" s="52">
        <f>Data!I16</f>
        <v/>
      </c>
      <c r="K3" s="52">
        <f>Data!J16</f>
        <v/>
      </c>
      <c r="L3" s="52">
        <f>Data!K16</f>
        <v/>
      </c>
      <c r="M3" s="53">
        <f>Data!K16+365</f>
        <v/>
      </c>
      <c r="N3" s="53">
        <f>M3+365</f>
        <v/>
      </c>
      <c r="O3" s="53">
        <f>N3+365</f>
        <v/>
      </c>
      <c r="P3" s="53">
        <f>O3+365</f>
        <v/>
      </c>
      <c r="Q3" s="53">
        <f>P3+365</f>
        <v/>
      </c>
    </row>
    <row r="5">
      <c r="A5" s="2" t="inlineStr">
        <is>
          <t>#</t>
        </is>
      </c>
      <c r="B5" s="27" t="inlineStr">
        <is>
          <t>Income Statement</t>
        </is>
      </c>
      <c r="C5" s="29" t="n"/>
      <c r="D5" s="29" t="n"/>
      <c r="E5" s="29" t="n"/>
      <c r="F5" s="29" t="n"/>
      <c r="G5" s="29" t="n"/>
      <c r="H5" s="29" t="n"/>
      <c r="I5" s="29" t="n"/>
      <c r="J5" s="29" t="n"/>
      <c r="K5" s="29" t="n"/>
      <c r="L5" s="29" t="n"/>
      <c r="M5" s="29" t="n"/>
      <c r="N5" s="29" t="n"/>
      <c r="O5" s="29" t="n"/>
      <c r="P5" s="29" t="n"/>
      <c r="Q5" s="29" t="n"/>
    </row>
    <row r="6">
      <c r="M6" s="54" t="n"/>
      <c r="N6" s="54" t="n"/>
      <c r="O6" s="54" t="n"/>
      <c r="P6" s="54" t="n"/>
      <c r="Q6" s="54" t="n"/>
    </row>
    <row r="7">
      <c r="B7" s="28" t="inlineStr">
        <is>
          <t>Sales</t>
        </is>
      </c>
      <c r="C7" s="32">
        <f>Data!B17</f>
        <v/>
      </c>
      <c r="D7" s="32">
        <f>Data!C17</f>
        <v/>
      </c>
      <c r="E7" s="32">
        <f>Data!D17</f>
        <v/>
      </c>
      <c r="F7" s="32">
        <f>Data!E17</f>
        <v/>
      </c>
      <c r="G7" s="32">
        <f>Data!F17</f>
        <v/>
      </c>
      <c r="H7" s="32">
        <f>Data!G17</f>
        <v/>
      </c>
      <c r="I7" s="32">
        <f>Data!H17</f>
        <v/>
      </c>
      <c r="J7" s="32">
        <f>Data!I17</f>
        <v/>
      </c>
      <c r="K7" s="32">
        <f>Data!J17</f>
        <v/>
      </c>
      <c r="L7" s="32">
        <f>Data!K17</f>
        <v/>
      </c>
      <c r="M7" s="55">
        <f>_xlfn.FORECAST.LINEAR(M$3,$C7:$L7,$C$3:$L$3)</f>
        <v/>
      </c>
      <c r="N7" s="55">
        <f>_xlfn.FORECAST.LINEAR(N$3,$C7:$L7,$C$3:$L$3)</f>
        <v/>
      </c>
      <c r="O7" s="55">
        <f>_xlfn.FORECAST.LINEAR(O$3,$C7:$L7,$C$3:$L$3)</f>
        <v/>
      </c>
      <c r="P7" s="55">
        <f>_xlfn.FORECAST.LINEAR(P$3,$C7:$L7,$C$3:$L$3)</f>
        <v/>
      </c>
      <c r="Q7" s="55">
        <f>_xlfn.FORECAST.LINEAR(Q$3,$C7:$L7,$C$3:$L$3)</f>
        <v/>
      </c>
    </row>
    <row r="8">
      <c r="B8" s="33" t="inlineStr">
        <is>
          <t>Sales Margin</t>
        </is>
      </c>
      <c r="C8" s="34" t="inlineStr">
        <is>
          <t>-</t>
        </is>
      </c>
      <c r="D8" s="34">
        <f>D7/C7-1</f>
        <v/>
      </c>
      <c r="E8" s="34">
        <f>E7/D7-1</f>
        <v/>
      </c>
      <c r="F8" s="34">
        <f>F7/E7-1</f>
        <v/>
      </c>
      <c r="G8" s="34">
        <f>G7/F7-1</f>
        <v/>
      </c>
      <c r="H8" s="34">
        <f>H7/G7-1</f>
        <v/>
      </c>
      <c r="I8" s="34">
        <f>I7/H7-1</f>
        <v/>
      </c>
      <c r="J8" s="34">
        <f>J7/I7-1</f>
        <v/>
      </c>
      <c r="K8" s="34">
        <f>K7/J7-1</f>
        <v/>
      </c>
      <c r="L8" s="34">
        <f>L7/K7-1</f>
        <v/>
      </c>
      <c r="M8" s="34">
        <f>M7/L7-1</f>
        <v/>
      </c>
      <c r="N8" s="34">
        <f>N7/M7-1</f>
        <v/>
      </c>
      <c r="O8" s="34">
        <f>O7/N7-1</f>
        <v/>
      </c>
      <c r="P8" s="34">
        <f>P7/O7-1</f>
        <v/>
      </c>
      <c r="Q8" s="34">
        <f>Q7/P7-1</f>
        <v/>
      </c>
    </row>
    <row r="9">
      <c r="C9" s="32" t="n"/>
      <c r="D9" s="32" t="n"/>
      <c r="E9" s="32" t="n"/>
      <c r="F9" s="32" t="n"/>
      <c r="G9" s="32" t="n"/>
      <c r="H9" s="32" t="n"/>
      <c r="I9" s="32" t="n"/>
      <c r="J9" s="32" t="n"/>
      <c r="K9" s="32" t="n"/>
      <c r="L9" s="32" t="n"/>
      <c r="M9" s="54" t="n"/>
      <c r="N9" s="54" t="n"/>
      <c r="O9" s="54" t="n"/>
      <c r="P9" s="54" t="n"/>
      <c r="Q9" s="54" t="n"/>
    </row>
    <row r="10">
      <c r="B10" s="28" t="inlineStr">
        <is>
          <t>COGS</t>
        </is>
      </c>
      <c r="C10" s="32">
        <f>SUM(Data!B18,Data!B20:B22)-(1*Data!B19)</f>
        <v/>
      </c>
      <c r="D10" s="32">
        <f>SUM(Data!C18,Data!C20:C22)-(1*Data!C19)</f>
        <v/>
      </c>
      <c r="E10" s="32">
        <f>SUM(Data!D18,Data!D20:D22)-(1*Data!D19)</f>
        <v/>
      </c>
      <c r="F10" s="32">
        <f>SUM(Data!E18,Data!E20:E22)-(1*Data!E19)</f>
        <v/>
      </c>
      <c r="G10" s="32">
        <f>SUM(Data!F18,Data!F20:F22)-(1*Data!F19)</f>
        <v/>
      </c>
      <c r="H10" s="32">
        <f>SUM(Data!G18,Data!G20:G22)-(1*Data!G19)</f>
        <v/>
      </c>
      <c r="I10" s="32">
        <f>SUM(Data!H18,Data!H20:H22)-(1*Data!H19)</f>
        <v/>
      </c>
      <c r="J10" s="32">
        <f>SUM(Data!I18,Data!I20:I22)-(1*Data!I19)</f>
        <v/>
      </c>
      <c r="K10" s="32">
        <f>SUM(Data!J18,Data!J20:J22)-(1*Data!J19)</f>
        <v/>
      </c>
      <c r="L10" s="32">
        <f>SUM(Data!K18,Data!K20:K22)-(1*Data!K19)</f>
        <v/>
      </c>
      <c r="M10" s="55">
        <f>_xlfn.FORECAST.LINEAR(M$3,$C10:$L10,$C$3:$L$3)</f>
        <v/>
      </c>
      <c r="N10" s="55">
        <f>_xlfn.FORECAST.LINEAR(N$3,$C10:$L10,$C$3:$L$3)</f>
        <v/>
      </c>
      <c r="O10" s="55">
        <f>_xlfn.FORECAST.LINEAR(O$3,$C10:$L10,$C$3:$L$3)</f>
        <v/>
      </c>
      <c r="P10" s="55">
        <f>_xlfn.FORECAST.LINEAR(P$3,$C10:$L10,$C$3:$L$3)</f>
        <v/>
      </c>
      <c r="Q10" s="55">
        <f>_xlfn.FORECAST.LINEAR(Q$3,$C10:$L10,$C$3:$L$3)</f>
        <v/>
      </c>
    </row>
    <row r="11">
      <c r="C11" s="32" t="n"/>
      <c r="D11" s="32" t="n"/>
      <c r="E11" s="32" t="n"/>
      <c r="F11" s="32" t="n"/>
      <c r="G11" s="32" t="n"/>
      <c r="H11" s="32" t="n"/>
      <c r="I11" s="32" t="n"/>
      <c r="J11" s="32" t="n"/>
      <c r="K11" s="32" t="n"/>
      <c r="L11" s="32" t="n"/>
      <c r="M11" s="54" t="n"/>
      <c r="N11" s="54" t="n"/>
      <c r="O11" s="54" t="n"/>
      <c r="P11" s="54" t="n"/>
      <c r="Q11" s="54" t="n"/>
    </row>
    <row r="12">
      <c r="B12" s="35" t="inlineStr">
        <is>
          <t>Gross Profit</t>
        </is>
      </c>
      <c r="C12" s="36">
        <f>C7-C10</f>
        <v/>
      </c>
      <c r="D12" s="36">
        <f>D7-D10</f>
        <v/>
      </c>
      <c r="E12" s="36">
        <f>E7-E10</f>
        <v/>
      </c>
      <c r="F12" s="36">
        <f>F7-F10</f>
        <v/>
      </c>
      <c r="G12" s="36">
        <f>G7-G10</f>
        <v/>
      </c>
      <c r="H12" s="36">
        <f>H7-H10</f>
        <v/>
      </c>
      <c r="I12" s="36">
        <f>I7-I10</f>
        <v/>
      </c>
      <c r="J12" s="36">
        <f>J7-J10</f>
        <v/>
      </c>
      <c r="K12" s="36">
        <f>K7-K10</f>
        <v/>
      </c>
      <c r="L12" s="36">
        <f>L7-L10</f>
        <v/>
      </c>
      <c r="M12" s="56">
        <f>_xlfn.FORECAST.LINEAR(M$3,$C12:$L12,$C$3:$L$3)</f>
        <v/>
      </c>
      <c r="N12" s="56">
        <f>_xlfn.FORECAST.LINEAR(N$3,$C12:$L12,$C$3:$L$3)</f>
        <v/>
      </c>
      <c r="O12" s="56">
        <f>_xlfn.FORECAST.LINEAR(O$3,$C12:$L12,$C$3:$L$3)</f>
        <v/>
      </c>
      <c r="P12" s="56">
        <f>_xlfn.FORECAST.LINEAR(P$3,$C12:$L12,$C$3:$L$3)</f>
        <v/>
      </c>
      <c r="Q12" s="56">
        <f>_xlfn.FORECAST.LINEAR(Q$3,$C12:$L12,$C$3:$L$3)</f>
        <v/>
      </c>
    </row>
    <row r="13">
      <c r="B13" s="33" t="inlineStr">
        <is>
          <t>Gross Profit Margins</t>
        </is>
      </c>
      <c r="C13" s="34">
        <f>C12/C7</f>
        <v/>
      </c>
      <c r="D13" s="34">
        <f>D12/D7</f>
        <v/>
      </c>
      <c r="E13" s="34">
        <f>E12/E7</f>
        <v/>
      </c>
      <c r="F13" s="34">
        <f>F12/F7</f>
        <v/>
      </c>
      <c r="G13" s="34">
        <f>G12/G7</f>
        <v/>
      </c>
      <c r="H13" s="34">
        <f>H12/H7</f>
        <v/>
      </c>
      <c r="I13" s="34">
        <f>I12/I7</f>
        <v/>
      </c>
      <c r="J13" s="34">
        <f>J12/J7</f>
        <v/>
      </c>
      <c r="K13" s="34">
        <f>K12/K7</f>
        <v/>
      </c>
      <c r="L13" s="34">
        <f>L12/L7</f>
        <v/>
      </c>
      <c r="M13" s="34">
        <f>M12/M7</f>
        <v/>
      </c>
      <c r="N13" s="34">
        <f>N12/N7</f>
        <v/>
      </c>
      <c r="O13" s="34">
        <f>O12/O7</f>
        <v/>
      </c>
      <c r="P13" s="34">
        <f>P12/P7</f>
        <v/>
      </c>
      <c r="Q13" s="34">
        <f>Q12/Q7</f>
        <v/>
      </c>
    </row>
    <row r="14">
      <c r="C14" s="32" t="n"/>
      <c r="D14" s="32" t="n"/>
      <c r="E14" s="32" t="n"/>
      <c r="F14" s="32" t="n"/>
      <c r="G14" s="32" t="n"/>
      <c r="H14" s="32" t="n"/>
      <c r="I14" s="32" t="n"/>
      <c r="J14" s="32" t="n"/>
      <c r="K14" s="32" t="n"/>
      <c r="L14" s="32" t="n"/>
      <c r="M14" s="54" t="n"/>
      <c r="N14" s="54" t="n"/>
      <c r="O14" s="54" t="n"/>
      <c r="P14" s="54" t="n"/>
      <c r="Q14" s="54" t="n"/>
    </row>
    <row r="15">
      <c r="B15" s="28" t="inlineStr">
        <is>
          <t>Selling and General Expenses</t>
        </is>
      </c>
      <c r="C15" s="32">
        <f>SUM(Data!B23:B24)</f>
        <v/>
      </c>
      <c r="D15" s="32">
        <f>SUM(Data!C23:C24)</f>
        <v/>
      </c>
      <c r="E15" s="32">
        <f>SUM(Data!D23:D24)</f>
        <v/>
      </c>
      <c r="F15" s="32">
        <f>SUM(Data!E23:E24)</f>
        <v/>
      </c>
      <c r="G15" s="32">
        <f>SUM(Data!F23:F24)</f>
        <v/>
      </c>
      <c r="H15" s="32">
        <f>SUM(Data!G23:G24)</f>
        <v/>
      </c>
      <c r="I15" s="32">
        <f>SUM(Data!H23:H24)</f>
        <v/>
      </c>
      <c r="J15" s="32">
        <f>SUM(Data!I23:I24)</f>
        <v/>
      </c>
      <c r="K15" s="32">
        <f>SUM(Data!J23:J24)</f>
        <v/>
      </c>
      <c r="L15" s="32">
        <f>SUM(Data!K23:K24)</f>
        <v/>
      </c>
      <c r="M15" s="55">
        <f>_xlfn.FORECAST.LINEAR(M$3,$C15:$L15,$C$3:$L$3)</f>
        <v/>
      </c>
      <c r="N15" s="55">
        <f>_xlfn.FORECAST.LINEAR(N$3,$C15:$L15,$C$3:$L$3)</f>
        <v/>
      </c>
      <c r="O15" s="55">
        <f>_xlfn.FORECAST.LINEAR(O$3,$C15:$L15,$C$3:$L$3)</f>
        <v/>
      </c>
      <c r="P15" s="55">
        <f>_xlfn.FORECAST.LINEAR(P$3,$C15:$L15,$C$3:$L$3)</f>
        <v/>
      </c>
      <c r="Q15" s="55">
        <f>_xlfn.FORECAST.LINEAR(Q$3,$C15:$L15,$C$3:$L$3)</f>
        <v/>
      </c>
    </row>
    <row r="16">
      <c r="C16" s="32" t="n"/>
      <c r="D16" s="32" t="n"/>
      <c r="E16" s="32" t="n"/>
      <c r="F16" s="32" t="n"/>
      <c r="G16" s="32" t="n"/>
      <c r="H16" s="32" t="n"/>
      <c r="I16" s="32" t="n"/>
      <c r="J16" s="32" t="n"/>
      <c r="K16" s="32" t="n"/>
      <c r="L16" s="32" t="n"/>
      <c r="M16" s="54" t="n"/>
      <c r="N16" s="54" t="n"/>
      <c r="O16" s="54" t="n"/>
      <c r="P16" s="54" t="n"/>
      <c r="Q16" s="54" t="n"/>
    </row>
    <row r="17">
      <c r="B17" s="35" t="inlineStr">
        <is>
          <t>EBITDA</t>
        </is>
      </c>
      <c r="C17" s="36">
        <f>C12-C15</f>
        <v/>
      </c>
      <c r="D17" s="36">
        <f>D12-D15</f>
        <v/>
      </c>
      <c r="E17" s="36">
        <f>E12-E15</f>
        <v/>
      </c>
      <c r="F17" s="36">
        <f>F12-F15</f>
        <v/>
      </c>
      <c r="G17" s="36">
        <f>G12-G15</f>
        <v/>
      </c>
      <c r="H17" s="36">
        <f>H12-H15</f>
        <v/>
      </c>
      <c r="I17" s="36">
        <f>I12-I15</f>
        <v/>
      </c>
      <c r="J17" s="36">
        <f>J12-J15</f>
        <v/>
      </c>
      <c r="K17" s="36">
        <f>K12-K15</f>
        <v/>
      </c>
      <c r="L17" s="36">
        <f>L12-L15</f>
        <v/>
      </c>
      <c r="M17" s="56">
        <f>_xlfn.FORECAST.LINEAR(M$3,$C17:$L17,$C$3:$L$3)</f>
        <v/>
      </c>
      <c r="N17" s="56">
        <f>_xlfn.FORECAST.LINEAR(N$3,$C17:$L17,$C$3:$L$3)</f>
        <v/>
      </c>
      <c r="O17" s="56">
        <f>_xlfn.FORECAST.LINEAR(O$3,$C17:$L17,$C$3:$L$3)</f>
        <v/>
      </c>
      <c r="P17" s="56">
        <f>_xlfn.FORECAST.LINEAR(P$3,$C17:$L17,$C$3:$L$3)</f>
        <v/>
      </c>
      <c r="Q17" s="56">
        <f>_xlfn.FORECAST.LINEAR(Q$3,$C17:$L17,$C$3:$L$3)</f>
        <v/>
      </c>
    </row>
    <row r="18">
      <c r="B18" s="33" t="inlineStr">
        <is>
          <t>EBITDA Margins</t>
        </is>
      </c>
      <c r="C18" s="34">
        <f>C17/C7</f>
        <v/>
      </c>
      <c r="D18" s="34">
        <f>D17/D7</f>
        <v/>
      </c>
      <c r="E18" s="34">
        <f>E17/E7</f>
        <v/>
      </c>
      <c r="F18" s="34">
        <f>F17/F7</f>
        <v/>
      </c>
      <c r="G18" s="34">
        <f>G17/G7</f>
        <v/>
      </c>
      <c r="H18" s="34">
        <f>H17/H7</f>
        <v/>
      </c>
      <c r="I18" s="34">
        <f>I17/I7</f>
        <v/>
      </c>
      <c r="J18" s="34">
        <f>J17/J7</f>
        <v/>
      </c>
      <c r="K18" s="34">
        <f>K17/K7</f>
        <v/>
      </c>
      <c r="L18" s="34">
        <f>L17/L7</f>
        <v/>
      </c>
      <c r="M18" s="34">
        <f>M17/M7</f>
        <v/>
      </c>
      <c r="N18" s="34">
        <f>N17/N7</f>
        <v/>
      </c>
      <c r="O18" s="34">
        <f>O17/O7</f>
        <v/>
      </c>
      <c r="P18" s="34">
        <f>P17/P7</f>
        <v/>
      </c>
      <c r="Q18" s="34">
        <f>Q17/Q7</f>
        <v/>
      </c>
    </row>
    <row r="19">
      <c r="C19" s="32" t="n"/>
      <c r="D19" s="32" t="n"/>
      <c r="E19" s="32" t="n"/>
      <c r="F19" s="32" t="n"/>
      <c r="G19" s="32" t="n"/>
      <c r="H19" s="32" t="n"/>
      <c r="I19" s="32" t="n"/>
      <c r="J19" s="32" t="n"/>
      <c r="K19" s="32" t="n"/>
      <c r="L19" s="32" t="n"/>
      <c r="M19" s="54" t="n"/>
      <c r="N19" s="54" t="n"/>
      <c r="O19" s="54" t="n"/>
      <c r="P19" s="54" t="n"/>
      <c r="Q19" s="54" t="n"/>
    </row>
    <row r="20">
      <c r="B20" s="28" t="inlineStr">
        <is>
          <t>Depp&amp;Amm</t>
        </is>
      </c>
      <c r="C20" s="32">
        <f>SUM(Data!B26)</f>
        <v/>
      </c>
      <c r="D20" s="32">
        <f>SUM(Data!C26)</f>
        <v/>
      </c>
      <c r="E20" s="32">
        <f>SUM(Data!D26)</f>
        <v/>
      </c>
      <c r="F20" s="32">
        <f>SUM(Data!E26)</f>
        <v/>
      </c>
      <c r="G20" s="32">
        <f>SUM(Data!F26)</f>
        <v/>
      </c>
      <c r="H20" s="32">
        <f>SUM(Data!G26)</f>
        <v/>
      </c>
      <c r="I20" s="32">
        <f>SUM(Data!H26)</f>
        <v/>
      </c>
      <c r="J20" s="32">
        <f>SUM(Data!I26)</f>
        <v/>
      </c>
      <c r="K20" s="32">
        <f>SUM(Data!J26)</f>
        <v/>
      </c>
      <c r="L20" s="32">
        <f>SUM(Data!K26)</f>
        <v/>
      </c>
      <c r="M20" s="55">
        <f>_xlfn.FORECAST.LINEAR(M$3,$C20:$L20,$C$3:$L$3)</f>
        <v/>
      </c>
      <c r="N20" s="55">
        <f>_xlfn.FORECAST.LINEAR(N$3,$C20:$L20,$C$3:$L$3)</f>
        <v/>
      </c>
      <c r="O20" s="55">
        <f>_xlfn.FORECAST.LINEAR(O$3,$C20:$L20,$C$3:$L$3)</f>
        <v/>
      </c>
      <c r="P20" s="55">
        <f>_xlfn.FORECAST.LINEAR(P$3,$C20:$L20,$C$3:$L$3)</f>
        <v/>
      </c>
      <c r="Q20" s="55">
        <f>_xlfn.FORECAST.LINEAR(Q$3,$C20:$L20,$C$3:$L$3)</f>
        <v/>
      </c>
    </row>
    <row r="21">
      <c r="C21" s="32" t="n"/>
      <c r="D21" s="32" t="n"/>
      <c r="E21" s="32" t="n"/>
      <c r="F21" s="32" t="n"/>
      <c r="G21" s="32" t="n"/>
      <c r="H21" s="32" t="n"/>
      <c r="I21" s="32" t="n"/>
      <c r="J21" s="32" t="n"/>
      <c r="K21" s="32" t="n"/>
      <c r="L21" s="32" t="n"/>
      <c r="M21" s="54" t="n"/>
      <c r="N21" s="54" t="n"/>
      <c r="O21" s="54" t="n"/>
      <c r="P21" s="54" t="n"/>
      <c r="Q21" s="54" t="n"/>
    </row>
    <row r="22">
      <c r="B22" s="35" t="inlineStr">
        <is>
          <t>EBIT</t>
        </is>
      </c>
      <c r="C22" s="36">
        <f>C17-C20</f>
        <v/>
      </c>
      <c r="D22" s="36">
        <f>D17-D20</f>
        <v/>
      </c>
      <c r="E22" s="36">
        <f>E17-E20</f>
        <v/>
      </c>
      <c r="F22" s="36">
        <f>F17-F20</f>
        <v/>
      </c>
      <c r="G22" s="36">
        <f>G17-G20</f>
        <v/>
      </c>
      <c r="H22" s="36">
        <f>H17-H20</f>
        <v/>
      </c>
      <c r="I22" s="36">
        <f>I17-I20</f>
        <v/>
      </c>
      <c r="J22" s="36">
        <f>J17-J20</f>
        <v/>
      </c>
      <c r="K22" s="36">
        <f>K17-K20</f>
        <v/>
      </c>
      <c r="L22" s="36">
        <f>L17-L20</f>
        <v/>
      </c>
      <c r="M22" s="56">
        <f>_xlfn.FORECAST.LINEAR(M$3,$C22:$L22,$C$3:$L$3)</f>
        <v/>
      </c>
      <c r="N22" s="56">
        <f>_xlfn.FORECAST.LINEAR(N$3,$C22:$L22,$C$3:$L$3)</f>
        <v/>
      </c>
      <c r="O22" s="56">
        <f>_xlfn.FORECAST.LINEAR(O$3,$C22:$L22,$C$3:$L$3)</f>
        <v/>
      </c>
      <c r="P22" s="56">
        <f>_xlfn.FORECAST.LINEAR(P$3,$C22:$L22,$C$3:$L$3)</f>
        <v/>
      </c>
      <c r="Q22" s="56">
        <f>_xlfn.FORECAST.LINEAR(Q$3,$C22:$L22,$C$3:$L$3)</f>
        <v/>
      </c>
    </row>
    <row r="23">
      <c r="B23" s="33" t="inlineStr">
        <is>
          <t>EBIT Margins</t>
        </is>
      </c>
      <c r="C23" s="34">
        <f>C22/C7</f>
        <v/>
      </c>
      <c r="D23" s="34">
        <f>D22/D7</f>
        <v/>
      </c>
      <c r="E23" s="34">
        <f>E22/E7</f>
        <v/>
      </c>
      <c r="F23" s="34">
        <f>F22/F7</f>
        <v/>
      </c>
      <c r="G23" s="34">
        <f>G22/G7</f>
        <v/>
      </c>
      <c r="H23" s="34">
        <f>H22/H7</f>
        <v/>
      </c>
      <c r="I23" s="34">
        <f>I22/I7</f>
        <v/>
      </c>
      <c r="J23" s="34">
        <f>J22/J7</f>
        <v/>
      </c>
      <c r="K23" s="34">
        <f>K22/K7</f>
        <v/>
      </c>
      <c r="L23" s="34">
        <f>L22/L7</f>
        <v/>
      </c>
      <c r="M23" s="34">
        <f>M22/M12</f>
        <v/>
      </c>
      <c r="N23" s="34">
        <f>N22/N12</f>
        <v/>
      </c>
      <c r="O23" s="34">
        <f>O22/O12</f>
        <v/>
      </c>
      <c r="P23" s="34">
        <f>P22/P12</f>
        <v/>
      </c>
      <c r="Q23" s="34">
        <f>Q22/Q12</f>
        <v/>
      </c>
    </row>
    <row r="24">
      <c r="C24" s="32" t="n"/>
      <c r="D24" s="32" t="n"/>
      <c r="E24" s="32" t="n"/>
      <c r="F24" s="32" t="n"/>
      <c r="G24" s="32" t="n"/>
      <c r="H24" s="32" t="n"/>
      <c r="I24" s="32" t="n"/>
      <c r="J24" s="32" t="n"/>
      <c r="K24" s="32" t="n"/>
      <c r="L24" s="32" t="n"/>
      <c r="M24" s="54" t="n"/>
      <c r="N24" s="54" t="n"/>
      <c r="O24" s="54" t="n"/>
      <c r="P24" s="54" t="n"/>
      <c r="Q24" s="54" t="n"/>
    </row>
    <row r="25">
      <c r="B25" s="28" t="inlineStr">
        <is>
          <t>Interest</t>
        </is>
      </c>
      <c r="C25" s="32">
        <f>Data!B27</f>
        <v/>
      </c>
      <c r="D25" s="32">
        <f>Data!C27</f>
        <v/>
      </c>
      <c r="E25" s="32">
        <f>Data!D27</f>
        <v/>
      </c>
      <c r="F25" s="32">
        <f>Data!E27</f>
        <v/>
      </c>
      <c r="G25" s="32">
        <f>Data!F27</f>
        <v/>
      </c>
      <c r="H25" s="32">
        <f>Data!G27</f>
        <v/>
      </c>
      <c r="I25" s="32">
        <f>Data!H27</f>
        <v/>
      </c>
      <c r="J25" s="32">
        <f>Data!I27</f>
        <v/>
      </c>
      <c r="K25" s="32">
        <f>Data!J27</f>
        <v/>
      </c>
      <c r="L25" s="32">
        <f>Data!K27</f>
        <v/>
      </c>
      <c r="M25" s="55">
        <f>_xlfn.FORECAST.LINEAR(M$3,$C25:$L25,$C$3:$L$3)</f>
        <v/>
      </c>
      <c r="N25" s="55">
        <f>_xlfn.FORECAST.LINEAR(N$3,$C25:$L25,$C$3:$L$3)</f>
        <v/>
      </c>
      <c r="O25" s="55">
        <f>_xlfn.FORECAST.LINEAR(O$3,$C25:$L25,$C$3:$L$3)</f>
        <v/>
      </c>
      <c r="P25" s="55">
        <f>_xlfn.FORECAST.LINEAR(P$3,$C25:$L25,$C$3:$L$3)</f>
        <v/>
      </c>
      <c r="Q25" s="55">
        <f>_xlfn.FORECAST.LINEAR(Q$3,$C25:$L25,$C$3:$L$3)</f>
        <v/>
      </c>
    </row>
    <row r="26">
      <c r="C26" s="32" t="n"/>
      <c r="D26" s="32" t="n"/>
      <c r="E26" s="32" t="n"/>
      <c r="F26" s="32" t="n"/>
      <c r="G26" s="32" t="n"/>
      <c r="H26" s="32" t="n"/>
      <c r="I26" s="32" t="n"/>
      <c r="J26" s="32" t="n"/>
      <c r="K26" s="32" t="n"/>
      <c r="L26" s="32" t="n"/>
      <c r="M26" s="54" t="n"/>
      <c r="N26" s="54" t="n"/>
      <c r="O26" s="54" t="n"/>
      <c r="P26" s="54" t="n"/>
      <c r="Q26" s="54" t="n"/>
    </row>
    <row r="27">
      <c r="B27" s="35" t="inlineStr">
        <is>
          <t>EBT</t>
        </is>
      </c>
      <c r="C27" s="36">
        <f>C22-C25</f>
        <v/>
      </c>
      <c r="D27" s="36">
        <f>D22-D25</f>
        <v/>
      </c>
      <c r="E27" s="36">
        <f>E22-E25</f>
        <v/>
      </c>
      <c r="F27" s="36">
        <f>F22-F25</f>
        <v/>
      </c>
      <c r="G27" s="36">
        <f>G22-G25</f>
        <v/>
      </c>
      <c r="H27" s="36">
        <f>H22-H25</f>
        <v/>
      </c>
      <c r="I27" s="36">
        <f>I22-I25</f>
        <v/>
      </c>
      <c r="J27" s="36">
        <f>J22-J25</f>
        <v/>
      </c>
      <c r="K27" s="36">
        <f>K22-K25</f>
        <v/>
      </c>
      <c r="L27" s="36">
        <f>L22-L25</f>
        <v/>
      </c>
      <c r="M27" s="56">
        <f>_xlfn.FORECAST.LINEAR(M$3,$C27:$L27,$C$3:$L$3)</f>
        <v/>
      </c>
      <c r="N27" s="56">
        <f>_xlfn.FORECAST.LINEAR(N$3,$C27:$L27,$C$3:$L$3)</f>
        <v/>
      </c>
      <c r="O27" s="56">
        <f>_xlfn.FORECAST.LINEAR(O$3,$C27:$L27,$C$3:$L$3)</f>
        <v/>
      </c>
      <c r="P27" s="56">
        <f>_xlfn.FORECAST.LINEAR(P$3,$C27:$L27,$C$3:$L$3)</f>
        <v/>
      </c>
      <c r="Q27" s="56">
        <f>_xlfn.FORECAST.LINEAR(Q$3,$C27:$L27,$C$3:$L$3)</f>
        <v/>
      </c>
    </row>
    <row r="28">
      <c r="B28" s="33" t="inlineStr">
        <is>
          <t>EBT Margins</t>
        </is>
      </c>
      <c r="C28" s="34">
        <f>C27/C7</f>
        <v/>
      </c>
      <c r="D28" s="34">
        <f>D27/D7</f>
        <v/>
      </c>
      <c r="E28" s="34">
        <f>E27/E7</f>
        <v/>
      </c>
      <c r="F28" s="34">
        <f>F27/F7</f>
        <v/>
      </c>
      <c r="G28" s="34">
        <f>G27/G7</f>
        <v/>
      </c>
      <c r="H28" s="34">
        <f>H27/H7</f>
        <v/>
      </c>
      <c r="I28" s="34">
        <f>I27/I7</f>
        <v/>
      </c>
      <c r="J28" s="34">
        <f>J27/J7</f>
        <v/>
      </c>
      <c r="K28" s="34">
        <f>K27/K7</f>
        <v/>
      </c>
      <c r="L28" s="34">
        <f>L27/L7</f>
        <v/>
      </c>
      <c r="M28" s="34">
        <f>M27/M17</f>
        <v/>
      </c>
      <c r="N28" s="34">
        <f>N27/N17</f>
        <v/>
      </c>
      <c r="O28" s="34">
        <f>O27/O17</f>
        <v/>
      </c>
      <c r="P28" s="34">
        <f>P27/P17</f>
        <v/>
      </c>
      <c r="Q28" s="34">
        <f>Q27/Q17</f>
        <v/>
      </c>
    </row>
    <row r="29">
      <c r="C29" s="32" t="n"/>
      <c r="D29" s="32" t="n"/>
      <c r="E29" s="32" t="n"/>
      <c r="F29" s="32" t="n"/>
      <c r="G29" s="32" t="n"/>
      <c r="H29" s="32" t="n"/>
      <c r="I29" s="32" t="n"/>
      <c r="J29" s="32" t="n"/>
      <c r="K29" s="32" t="n"/>
      <c r="L29" s="32" t="n"/>
      <c r="M29" s="54" t="n"/>
      <c r="N29" s="54" t="n"/>
      <c r="O29" s="54" t="n"/>
      <c r="P29" s="54" t="n"/>
      <c r="Q29" s="54" t="n"/>
    </row>
    <row r="30">
      <c r="B30" s="28" t="inlineStr">
        <is>
          <t>Tax</t>
        </is>
      </c>
      <c r="C30" s="32">
        <f>Data!B29</f>
        <v/>
      </c>
      <c r="D30" s="32">
        <f>Data!C29</f>
        <v/>
      </c>
      <c r="E30" s="32">
        <f>Data!D29</f>
        <v/>
      </c>
      <c r="F30" s="32">
        <f>Data!E29</f>
        <v/>
      </c>
      <c r="G30" s="32">
        <f>Data!F29</f>
        <v/>
      </c>
      <c r="H30" s="32">
        <f>Data!G29</f>
        <v/>
      </c>
      <c r="I30" s="32">
        <f>Data!H29</f>
        <v/>
      </c>
      <c r="J30" s="32">
        <f>Data!I29</f>
        <v/>
      </c>
      <c r="K30" s="32">
        <f>Data!J29</f>
        <v/>
      </c>
      <c r="L30" s="32">
        <f>Data!K29</f>
        <v/>
      </c>
      <c r="M30" s="55">
        <f>_xlfn.FORECAST.LINEAR(M$3,$C30:$L30,$C$3:$L$3)</f>
        <v/>
      </c>
      <c r="N30" s="55">
        <f>_xlfn.FORECAST.LINEAR(N$3,$C30:$L30,$C$3:$L$3)</f>
        <v/>
      </c>
      <c r="O30" s="55">
        <f>_xlfn.FORECAST.LINEAR(O$3,$C30:$L30,$C$3:$L$3)</f>
        <v/>
      </c>
      <c r="P30" s="55">
        <f>_xlfn.FORECAST.LINEAR(P$3,$C30:$L30,$C$3:$L$3)</f>
        <v/>
      </c>
      <c r="Q30" s="55">
        <f>_xlfn.FORECAST.LINEAR(Q$3,$C30:$L30,$C$3:$L$3)</f>
        <v/>
      </c>
    </row>
    <row r="31">
      <c r="C31" s="32" t="n"/>
      <c r="D31" s="32" t="n"/>
      <c r="E31" s="32" t="n"/>
      <c r="F31" s="32" t="n"/>
      <c r="G31" s="32" t="n"/>
      <c r="H31" s="32" t="n"/>
      <c r="I31" s="32" t="n"/>
      <c r="J31" s="32" t="n"/>
      <c r="K31" s="32" t="n"/>
      <c r="L31" s="32" t="n"/>
      <c r="M31" s="54" t="n"/>
      <c r="N31" s="54" t="n"/>
      <c r="O31" s="54" t="n"/>
      <c r="P31" s="54" t="n"/>
      <c r="Q31" s="54" t="n"/>
    </row>
    <row r="32">
      <c r="B32" s="35" t="inlineStr">
        <is>
          <t>Net Profit</t>
        </is>
      </c>
      <c r="C32" s="36">
        <f>C27-C30</f>
        <v/>
      </c>
      <c r="D32" s="36">
        <f>D27-D30</f>
        <v/>
      </c>
      <c r="E32" s="36">
        <f>E27-E30</f>
        <v/>
      </c>
      <c r="F32" s="36">
        <f>F27-F30</f>
        <v/>
      </c>
      <c r="G32" s="36">
        <f>G27-G30</f>
        <v/>
      </c>
      <c r="H32" s="36">
        <f>H27-H30</f>
        <v/>
      </c>
      <c r="I32" s="36">
        <f>I27-I30</f>
        <v/>
      </c>
      <c r="J32" s="36">
        <f>J27-J30</f>
        <v/>
      </c>
      <c r="K32" s="36">
        <f>K27-K30</f>
        <v/>
      </c>
      <c r="L32" s="36">
        <f>L27-L30</f>
        <v/>
      </c>
      <c r="M32" s="56">
        <f>_xlfn.FORECAST.LINEAR(M$3,$C32:$L32,$C$3:$L$3)</f>
        <v/>
      </c>
      <c r="N32" s="56">
        <f>_xlfn.FORECAST.LINEAR(N$3,$C32:$L32,$C$3:$L$3)</f>
        <v/>
      </c>
      <c r="O32" s="56">
        <f>_xlfn.FORECAST.LINEAR(O$3,$C32:$L32,$C$3:$L$3)</f>
        <v/>
      </c>
      <c r="P32" s="56">
        <f>_xlfn.FORECAST.LINEAR(P$3,$C32:$L32,$C$3:$L$3)</f>
        <v/>
      </c>
      <c r="Q32" s="56">
        <f>_xlfn.FORECAST.LINEAR(Q$3,$C32:$L32,$C$3:$L$3)</f>
        <v/>
      </c>
    </row>
    <row r="33">
      <c r="B33" s="33" t="inlineStr">
        <is>
          <t>Net Profit Margins</t>
        </is>
      </c>
      <c r="C33" s="34">
        <f>C32/C7</f>
        <v/>
      </c>
      <c r="D33" s="34">
        <f>D32/D7</f>
        <v/>
      </c>
      <c r="E33" s="34">
        <f>E32/E7</f>
        <v/>
      </c>
      <c r="F33" s="34">
        <f>F32/F7</f>
        <v/>
      </c>
      <c r="G33" s="34">
        <f>G32/G7</f>
        <v/>
      </c>
      <c r="H33" s="34">
        <f>H32/H7</f>
        <v/>
      </c>
      <c r="I33" s="34">
        <f>I32/I7</f>
        <v/>
      </c>
      <c r="J33" s="34">
        <f>J32/J7</f>
        <v/>
      </c>
      <c r="K33" s="34">
        <f>K32/K7</f>
        <v/>
      </c>
      <c r="L33" s="34">
        <f>L32/L7</f>
        <v/>
      </c>
      <c r="M33" s="34">
        <f>M32/M22</f>
        <v/>
      </c>
      <c r="N33" s="34">
        <f>N32/N22</f>
        <v/>
      </c>
      <c r="O33" s="34">
        <f>O32/O22</f>
        <v/>
      </c>
      <c r="P33" s="34">
        <f>P32/P22</f>
        <v/>
      </c>
      <c r="Q33" s="34">
        <f>Q32/Q22</f>
        <v/>
      </c>
    </row>
    <row r="35">
      <c r="A35" s="2" t="inlineStr">
        <is>
          <t>#</t>
        </is>
      </c>
      <c r="B35" s="27" t="inlineStr">
        <is>
          <t>Balance Statement</t>
        </is>
      </c>
      <c r="C35" s="29" t="n"/>
      <c r="D35" s="29" t="n"/>
      <c r="E35" s="29" t="n"/>
      <c r="F35" s="29" t="n"/>
      <c r="G35" s="29" t="n"/>
      <c r="H35" s="29" t="n"/>
      <c r="I35" s="29" t="n"/>
      <c r="J35" s="29" t="n"/>
      <c r="K35" s="29" t="n"/>
      <c r="L35" s="29" t="n"/>
      <c r="M35" s="29" t="n"/>
      <c r="N35" s="29" t="n"/>
      <c r="O35" s="29" t="n"/>
      <c r="P35" s="29" t="n"/>
      <c r="Q35" s="29" t="n"/>
    </row>
    <row r="36">
      <c r="B36" s="28" t="inlineStr">
        <is>
          <t>Equity</t>
        </is>
      </c>
      <c r="C36" s="31">
        <f>Data!B57</f>
        <v/>
      </c>
      <c r="D36" s="31">
        <f>Data!C57</f>
        <v/>
      </c>
      <c r="E36" s="31">
        <f>Data!D57</f>
        <v/>
      </c>
      <c r="F36" s="31">
        <f>Data!E57</f>
        <v/>
      </c>
      <c r="G36" s="31">
        <f>Data!F57</f>
        <v/>
      </c>
      <c r="H36" s="31">
        <f>Data!G57</f>
        <v/>
      </c>
      <c r="I36" s="31">
        <f>Data!H57</f>
        <v/>
      </c>
      <c r="J36" s="31">
        <f>Data!I57</f>
        <v/>
      </c>
      <c r="K36" s="31">
        <f>Data!J57</f>
        <v/>
      </c>
      <c r="L36" s="31">
        <f>Data!K57</f>
        <v/>
      </c>
      <c r="M36" s="55">
        <f>_xlfn.FORECAST.LINEAR(M$3,$C36:$L36,$C$3:$L$3)</f>
        <v/>
      </c>
      <c r="N36" s="55">
        <f>_xlfn.FORECAST.LINEAR(N$3,$C36:$L36,$C$3:$L$3)</f>
        <v/>
      </c>
      <c r="O36" s="55">
        <f>_xlfn.FORECAST.LINEAR(O$3,$C36:$L36,$C$3:$L$3)</f>
        <v/>
      </c>
      <c r="P36" s="55">
        <f>_xlfn.FORECAST.LINEAR(P$3,$C36:$L36,$C$3:$L$3)</f>
        <v/>
      </c>
      <c r="Q36" s="55">
        <f>_xlfn.FORECAST.LINEAR(Q$3,$C36:$L36,$C$3:$L$3)</f>
        <v/>
      </c>
    </row>
    <row r="37">
      <c r="B37" s="28" t="inlineStr">
        <is>
          <t>Reserves</t>
        </is>
      </c>
      <c r="C37" s="31">
        <f>Data!B58</f>
        <v/>
      </c>
      <c r="D37" s="31">
        <f>Data!C58</f>
        <v/>
      </c>
      <c r="E37" s="31">
        <f>Data!D58</f>
        <v/>
      </c>
      <c r="F37" s="31">
        <f>Data!E58</f>
        <v/>
      </c>
      <c r="G37" s="31">
        <f>Data!F58</f>
        <v/>
      </c>
      <c r="H37" s="31">
        <f>Data!G58</f>
        <v/>
      </c>
      <c r="I37" s="31">
        <f>Data!H58</f>
        <v/>
      </c>
      <c r="J37" s="31">
        <f>Data!I58</f>
        <v/>
      </c>
      <c r="K37" s="31">
        <f>Data!J58</f>
        <v/>
      </c>
      <c r="L37" s="31">
        <f>Data!K58</f>
        <v/>
      </c>
      <c r="M37" s="55">
        <f>_xlfn.FORECAST.LINEAR(M$3,$C37:$L37,$C$3:$L$3)</f>
        <v/>
      </c>
      <c r="N37" s="55">
        <f>_xlfn.FORECAST.LINEAR(N$3,$C37:$L37,$C$3:$L$3)</f>
        <v/>
      </c>
      <c r="O37" s="55">
        <f>_xlfn.FORECAST.LINEAR(O$3,$C37:$L37,$C$3:$L$3)</f>
        <v/>
      </c>
      <c r="P37" s="55">
        <f>_xlfn.FORECAST.LINEAR(P$3,$C37:$L37,$C$3:$L$3)</f>
        <v/>
      </c>
      <c r="Q37" s="55">
        <f>_xlfn.FORECAST.LINEAR(Q$3,$C37:$L37,$C$3:$L$3)</f>
        <v/>
      </c>
    </row>
    <row r="38">
      <c r="B38" s="28" t="inlineStr">
        <is>
          <t>Borrowing</t>
        </is>
      </c>
      <c r="C38" s="31">
        <f>Data!B59</f>
        <v/>
      </c>
      <c r="D38" s="31">
        <f>Data!C59</f>
        <v/>
      </c>
      <c r="E38" s="31">
        <f>Data!D59</f>
        <v/>
      </c>
      <c r="F38" s="31">
        <f>Data!E59</f>
        <v/>
      </c>
      <c r="G38" s="31">
        <f>Data!F59</f>
        <v/>
      </c>
      <c r="H38" s="31">
        <f>Data!G59</f>
        <v/>
      </c>
      <c r="I38" s="31">
        <f>Data!H59</f>
        <v/>
      </c>
      <c r="J38" s="31">
        <f>Data!I59</f>
        <v/>
      </c>
      <c r="K38" s="31">
        <f>Data!J59</f>
        <v/>
      </c>
      <c r="L38" s="31">
        <f>Data!K59</f>
        <v/>
      </c>
      <c r="M38" s="55">
        <f>_xlfn.FORECAST.LINEAR(M$3,$C38:$L38,$C$3:$L$3)</f>
        <v/>
      </c>
      <c r="N38" s="55">
        <f>_xlfn.FORECAST.LINEAR(N$3,$C38:$L38,$C$3:$L$3)</f>
        <v/>
      </c>
      <c r="O38" s="55">
        <f>_xlfn.FORECAST.LINEAR(O$3,$C38:$L38,$C$3:$L$3)</f>
        <v/>
      </c>
      <c r="P38" s="55">
        <f>_xlfn.FORECAST.LINEAR(P$3,$C38:$L38,$C$3:$L$3)</f>
        <v/>
      </c>
      <c r="Q38" s="55">
        <f>_xlfn.FORECAST.LINEAR(Q$3,$C38:$L38,$C$3:$L$3)</f>
        <v/>
      </c>
    </row>
    <row r="39">
      <c r="C39" s="31" t="n"/>
      <c r="D39" s="31" t="n"/>
      <c r="E39" s="31" t="n"/>
      <c r="F39" s="31" t="n"/>
      <c r="G39" s="31" t="n"/>
      <c r="H39" s="31" t="n"/>
      <c r="I39" s="31" t="n"/>
      <c r="J39" s="31" t="n"/>
      <c r="K39" s="31" t="n"/>
      <c r="L39" s="31" t="n"/>
      <c r="M39" s="55" t="n"/>
      <c r="N39" s="55" t="n"/>
      <c r="O39" s="55" t="n"/>
      <c r="P39" s="55" t="n"/>
      <c r="Q39" s="55" t="n"/>
    </row>
    <row r="40">
      <c r="B40" s="44" t="inlineStr">
        <is>
          <t>Non controlling int</t>
        </is>
      </c>
      <c r="C40" s="44" t="n">
        <v>20</v>
      </c>
      <c r="D40" s="44" t="n">
        <v>22</v>
      </c>
      <c r="E40" s="44" t="n">
        <v>20</v>
      </c>
      <c r="F40" s="44" t="n">
        <v>18</v>
      </c>
      <c r="G40" s="44" t="n">
        <v>17</v>
      </c>
      <c r="H40" s="44" t="n">
        <v>20</v>
      </c>
      <c r="I40" s="44" t="n">
        <v>26</v>
      </c>
      <c r="J40" s="44" t="n">
        <v>218</v>
      </c>
      <c r="K40" s="44" t="n">
        <v>205</v>
      </c>
      <c r="L40" s="44" t="n">
        <v>207</v>
      </c>
      <c r="M40" s="55">
        <f>_xlfn.FORECAST.LINEAR(M$3,$C40:$L40,$C$3:$L$3)</f>
        <v/>
      </c>
      <c r="N40" s="55">
        <f>_xlfn.FORECAST.LINEAR(N$3,$C40:$L40,$C$3:$L$3)</f>
        <v/>
      </c>
      <c r="O40" s="55">
        <f>_xlfn.FORECAST.LINEAR(O$3,$C40:$L40,$C$3:$L$3)</f>
        <v/>
      </c>
      <c r="P40" s="55">
        <f>_xlfn.FORECAST.LINEAR(P$3,$C40:$L40,$C$3:$L$3)</f>
        <v/>
      </c>
      <c r="Q40" s="55">
        <f>_xlfn.FORECAST.LINEAR(Q$3,$C40:$L40,$C$3:$L$3)</f>
        <v/>
      </c>
    </row>
    <row r="41">
      <c r="B41" s="44" t="inlineStr">
        <is>
          <t>Trade Payables</t>
        </is>
      </c>
      <c r="C41" s="45" t="n">
        <v>5685</v>
      </c>
      <c r="D41" s="45" t="n">
        <v>6186</v>
      </c>
      <c r="E41" s="45" t="n">
        <v>7170</v>
      </c>
      <c r="F41" s="45" t="n">
        <v>7206</v>
      </c>
      <c r="G41" s="45" t="n">
        <v>7535</v>
      </c>
      <c r="H41" s="45" t="n">
        <v>8802</v>
      </c>
      <c r="I41" s="45" t="n">
        <v>9068</v>
      </c>
      <c r="J41" s="45" t="n">
        <v>9574</v>
      </c>
      <c r="K41" s="45" t="n">
        <v>10486</v>
      </c>
      <c r="L41" s="45" t="n">
        <v>11315</v>
      </c>
      <c r="M41" s="55">
        <f>_xlfn.FORECAST.LINEAR(M$3,$C41:$L41,$C$3:$L$3)</f>
        <v/>
      </c>
      <c r="N41" s="55">
        <f>_xlfn.FORECAST.LINEAR(N$3,$C41:$L41,$C$3:$L$3)</f>
        <v/>
      </c>
      <c r="O41" s="55">
        <f>_xlfn.FORECAST.LINEAR(O$3,$C41:$L41,$C$3:$L$3)</f>
        <v/>
      </c>
      <c r="P41" s="55">
        <f>_xlfn.FORECAST.LINEAR(P$3,$C41:$L41,$C$3:$L$3)</f>
        <v/>
      </c>
      <c r="Q41" s="55">
        <f>_xlfn.FORECAST.LINEAR(Q$3,$C41:$L41,$C$3:$L$3)</f>
        <v/>
      </c>
    </row>
    <row r="42">
      <c r="B42" s="44" t="inlineStr">
        <is>
          <t>Advance from Customers</t>
        </is>
      </c>
      <c r="C42" s="44" t="n">
        <v>45</v>
      </c>
      <c r="D42" s="44" t="n">
        <v>78</v>
      </c>
      <c r="E42" s="44" t="n">
        <v>62</v>
      </c>
      <c r="F42" s="44" t="n">
        <v>43</v>
      </c>
      <c r="G42" s="44" t="n">
        <v>158</v>
      </c>
      <c r="H42" s="44" t="n">
        <v>96</v>
      </c>
      <c r="I42" s="44" t="n">
        <v>119</v>
      </c>
      <c r="J42" s="44" t="n">
        <v>98</v>
      </c>
      <c r="K42" s="44" t="n">
        <v>91</v>
      </c>
      <c r="L42" s="44" t="n">
        <v>105</v>
      </c>
      <c r="M42" s="55">
        <f>_xlfn.FORECAST.LINEAR(M$3,$C42:$L42,$C$3:$L$3)</f>
        <v/>
      </c>
      <c r="N42" s="55">
        <f>_xlfn.FORECAST.LINEAR(N$3,$C42:$L42,$C$3:$L$3)</f>
        <v/>
      </c>
      <c r="O42" s="55">
        <f>_xlfn.FORECAST.LINEAR(O$3,$C42:$L42,$C$3:$L$3)</f>
        <v/>
      </c>
      <c r="P42" s="55">
        <f>_xlfn.FORECAST.LINEAR(P$3,$C42:$L42,$C$3:$L$3)</f>
        <v/>
      </c>
      <c r="Q42" s="55">
        <f>_xlfn.FORECAST.LINEAR(Q$3,$C42:$L42,$C$3:$L$3)</f>
        <v/>
      </c>
    </row>
    <row r="43">
      <c r="B43" s="44" t="inlineStr">
        <is>
          <t>Other liability items</t>
        </is>
      </c>
      <c r="C43" s="45" t="n">
        <v>2293</v>
      </c>
      <c r="D43" s="45" t="n">
        <v>2399</v>
      </c>
      <c r="E43" s="45" t="n">
        <v>3329</v>
      </c>
      <c r="F43" s="45" t="n">
        <v>3396</v>
      </c>
      <c r="G43" s="45" t="n">
        <v>4214</v>
      </c>
      <c r="H43" s="45" t="n">
        <v>12148</v>
      </c>
      <c r="I43" s="45" t="n">
        <v>11189</v>
      </c>
      <c r="J43" s="45" t="n">
        <v>11664</v>
      </c>
      <c r="K43" s="45" t="n">
        <v>15005</v>
      </c>
      <c r="L43" s="45" t="n">
        <v>17186</v>
      </c>
      <c r="M43" s="55">
        <f>_xlfn.FORECAST.LINEAR(M$3,$C43:$L43,$C$3:$L$3)</f>
        <v/>
      </c>
      <c r="N43" s="55">
        <f>_xlfn.FORECAST.LINEAR(N$3,$C43:$L43,$C$3:$L$3)</f>
        <v/>
      </c>
      <c r="O43" s="55">
        <f>_xlfn.FORECAST.LINEAR(O$3,$C43:$L43,$C$3:$L$3)</f>
        <v/>
      </c>
      <c r="P43" s="55">
        <f>_xlfn.FORECAST.LINEAR(P$3,$C43:$L43,$C$3:$L$3)</f>
        <v/>
      </c>
      <c r="Q43" s="55">
        <f>_xlfn.FORECAST.LINEAR(Q$3,$C43:$L43,$C$3:$L$3)</f>
        <v/>
      </c>
    </row>
    <row r="44">
      <c r="B44" s="67" t="inlineStr">
        <is>
          <t>Other liabilities</t>
        </is>
      </c>
      <c r="C44" s="68">
        <f>SUM(C40:C43)</f>
        <v/>
      </c>
      <c r="D44" s="68">
        <f>SUM(D40:D43)</f>
        <v/>
      </c>
      <c r="E44" s="68">
        <f>SUM(E40:E43)</f>
        <v/>
      </c>
      <c r="F44" s="68">
        <f>SUM(F40:F43)</f>
        <v/>
      </c>
      <c r="G44" s="68">
        <f>SUM(G40:G43)</f>
        <v/>
      </c>
      <c r="H44" s="68">
        <f>SUM(H40:H43)</f>
        <v/>
      </c>
      <c r="I44" s="68">
        <f>SUM(I40:I43)</f>
        <v/>
      </c>
      <c r="J44" s="68">
        <f>SUM(J40:J43)</f>
        <v/>
      </c>
      <c r="K44" s="68">
        <f>SUM(K40:K43)</f>
        <v/>
      </c>
      <c r="L44" s="68">
        <f>SUM(L40:L43)</f>
        <v/>
      </c>
      <c r="M44" s="69">
        <f>SUM(M40:M43)</f>
        <v/>
      </c>
      <c r="N44" s="69">
        <f>SUM(N40:N43)</f>
        <v/>
      </c>
      <c r="O44" s="69">
        <f>SUM(O40:O43)</f>
        <v/>
      </c>
      <c r="P44" s="69">
        <f>SUM(P40:P43)</f>
        <v/>
      </c>
      <c r="Q44" s="55">
        <f>_xlfn.FORECAST.LINEAR(Q$3,$C44:$L44,$C$3:$L$3)</f>
        <v/>
      </c>
    </row>
    <row r="46">
      <c r="B46" s="38" t="inlineStr">
        <is>
          <t>Total Liabilities</t>
        </is>
      </c>
      <c r="C46" s="40">
        <f>Data!B61</f>
        <v/>
      </c>
      <c r="D46" s="40">
        <f>Data!C61</f>
        <v/>
      </c>
      <c r="E46" s="40">
        <f>Data!D61</f>
        <v/>
      </c>
      <c r="F46" s="40">
        <f>Data!E61</f>
        <v/>
      </c>
      <c r="G46" s="40">
        <f>Data!F61</f>
        <v/>
      </c>
      <c r="H46" s="40">
        <f>Data!G61</f>
        <v/>
      </c>
      <c r="I46" s="40">
        <f>Data!H61</f>
        <v/>
      </c>
      <c r="J46" s="40">
        <f>Data!I61</f>
        <v/>
      </c>
      <c r="K46" s="40">
        <f>Data!J61</f>
        <v/>
      </c>
      <c r="L46" s="40">
        <f>Data!K61</f>
        <v/>
      </c>
      <c r="M46" s="59">
        <f>_xlfn.FORECAST.LINEAR(M$3,$C46:$L46,$C$3:$L$3)</f>
        <v/>
      </c>
      <c r="N46" s="59">
        <f>_xlfn.FORECAST.LINEAR(N$3,$C46:$L46,$C$3:$L$3)</f>
        <v/>
      </c>
      <c r="O46" s="59">
        <f>_xlfn.FORECAST.LINEAR(O$3,$C46:$L46,$C$3:$L$3)</f>
        <v/>
      </c>
      <c r="P46" s="59">
        <f>_xlfn.FORECAST.LINEAR(P$3,$C46:$L46,$C$3:$L$3)</f>
        <v/>
      </c>
      <c r="Q46" s="59">
        <f>_xlfn.FORECAST.LINEAR(Q$3,$C46:$L46,$C$3:$L$3)</f>
        <v/>
      </c>
    </row>
    <row r="47">
      <c r="C47" s="31" t="n"/>
      <c r="D47" s="31" t="n"/>
      <c r="E47" s="31" t="n"/>
      <c r="F47" s="31" t="n"/>
      <c r="G47" s="31" t="n"/>
      <c r="H47" s="31" t="n"/>
      <c r="I47" s="31" t="n"/>
      <c r="J47" s="31" t="n"/>
      <c r="K47" s="31" t="n"/>
      <c r="L47" s="31" t="n"/>
    </row>
    <row r="48">
      <c r="B48" s="109" t="inlineStr">
        <is>
          <t>Net Block</t>
        </is>
      </c>
      <c r="C48" s="31">
        <f>Data!B62</f>
        <v/>
      </c>
      <c r="D48" s="31">
        <f>Data!C62</f>
        <v/>
      </c>
      <c r="E48" s="31">
        <f>Data!D62</f>
        <v/>
      </c>
      <c r="F48" s="31">
        <f>Data!E62</f>
        <v/>
      </c>
      <c r="G48" s="31">
        <f>Data!F62</f>
        <v/>
      </c>
      <c r="H48" s="31">
        <f>Data!G62</f>
        <v/>
      </c>
      <c r="I48" s="31">
        <f>Data!H62</f>
        <v/>
      </c>
      <c r="J48" s="31">
        <f>Data!I62</f>
        <v/>
      </c>
      <c r="K48" s="31">
        <f>Data!J62</f>
        <v/>
      </c>
      <c r="L48" s="31">
        <f>Data!K62</f>
        <v/>
      </c>
      <c r="M48" s="55">
        <f>_xlfn.FORECAST.LINEAR(M$3,$C48:$L48,$C$3:$L$3)</f>
        <v/>
      </c>
      <c r="N48" s="55">
        <f>_xlfn.FORECAST.LINEAR(N$3,$C48:$L48,$C$3:$L$3)</f>
        <v/>
      </c>
      <c r="O48" s="55">
        <f>_xlfn.FORECAST.LINEAR(O$3,$C48:$L48,$C$3:$L$3)</f>
        <v/>
      </c>
      <c r="P48" s="55">
        <f>_xlfn.FORECAST.LINEAR(P$3,$C48:$L48,$C$3:$L$3)</f>
        <v/>
      </c>
      <c r="Q48" s="55">
        <f>_xlfn.FORECAST.LINEAR(Q$3,$C48:$L48,$C$3:$L$3)</f>
        <v/>
      </c>
    </row>
    <row r="49">
      <c r="B49" s="109" t="inlineStr">
        <is>
          <t>Capital Work in Progress</t>
        </is>
      </c>
      <c r="C49" s="31">
        <f>Data!B63</f>
        <v/>
      </c>
      <c r="D49" s="31">
        <f>Data!C63</f>
        <v/>
      </c>
      <c r="E49" s="31">
        <f>Data!D63</f>
        <v/>
      </c>
      <c r="F49" s="31">
        <f>Data!E63</f>
        <v/>
      </c>
      <c r="G49" s="31">
        <f>Data!F63</f>
        <v/>
      </c>
      <c r="H49" s="31">
        <f>Data!G63</f>
        <v/>
      </c>
      <c r="I49" s="31">
        <f>Data!H63</f>
        <v/>
      </c>
      <c r="J49" s="31">
        <f>Data!I63</f>
        <v/>
      </c>
      <c r="K49" s="31">
        <f>Data!J63</f>
        <v/>
      </c>
      <c r="L49" s="31">
        <f>Data!K63</f>
        <v/>
      </c>
      <c r="M49" s="55">
        <f>_xlfn.FORECAST.LINEAR(M$3,$C49:$L49,$C$3:$L$3)</f>
        <v/>
      </c>
      <c r="N49" s="55">
        <f>_xlfn.FORECAST.LINEAR(N$3,$C49:$L49,$C$3:$L$3)</f>
        <v/>
      </c>
      <c r="O49" s="55">
        <f>_xlfn.FORECAST.LINEAR(O$3,$C49:$L49,$C$3:$L$3)</f>
        <v/>
      </c>
      <c r="P49" s="55">
        <f>_xlfn.FORECAST.LINEAR(P$3,$C49:$L49,$C$3:$L$3)</f>
        <v/>
      </c>
      <c r="Q49" s="55">
        <f>_xlfn.FORECAST.LINEAR(Q$3,$C49:$L49,$C$3:$L$3)</f>
        <v/>
      </c>
    </row>
    <row r="50">
      <c r="B50" s="109" t="inlineStr">
        <is>
          <t>Investments</t>
        </is>
      </c>
      <c r="C50" s="31">
        <f>Data!B64</f>
        <v/>
      </c>
      <c r="D50" s="31">
        <f>Data!C64</f>
        <v/>
      </c>
      <c r="E50" s="31">
        <f>Data!D64</f>
        <v/>
      </c>
      <c r="F50" s="31">
        <f>Data!E64</f>
        <v/>
      </c>
      <c r="G50" s="31">
        <f>Data!F64</f>
        <v/>
      </c>
      <c r="H50" s="31">
        <f>Data!G64</f>
        <v/>
      </c>
      <c r="I50" s="31">
        <f>Data!H64</f>
        <v/>
      </c>
      <c r="J50" s="31">
        <f>Data!I64</f>
        <v/>
      </c>
      <c r="K50" s="31">
        <f>Data!J64</f>
        <v/>
      </c>
      <c r="L50" s="31">
        <f>Data!K64</f>
        <v/>
      </c>
      <c r="M50" s="55">
        <f>_xlfn.FORECAST.LINEAR(M$3,$C50:$L50,$C$3:$L$3)</f>
        <v/>
      </c>
      <c r="N50" s="55">
        <f>_xlfn.FORECAST.LINEAR(N$3,$C50:$L50,$C$3:$L$3)</f>
        <v/>
      </c>
      <c r="O50" s="55">
        <f>_xlfn.FORECAST.LINEAR(O$3,$C50:$L50,$C$3:$L$3)</f>
        <v/>
      </c>
      <c r="P50" s="55">
        <f>_xlfn.FORECAST.LINEAR(P$3,$C50:$L50,$C$3:$L$3)</f>
        <v/>
      </c>
      <c r="Q50" s="55">
        <f>_xlfn.FORECAST.LINEAR(Q$3,$C50:$L50,$C$3:$L$3)</f>
        <v/>
      </c>
    </row>
    <row r="51">
      <c r="B51" s="109" t="inlineStr">
        <is>
          <t>Other Assets</t>
        </is>
      </c>
      <c r="C51" s="31">
        <f>Data!B65-SUM(Data!B67:B69)</f>
        <v/>
      </c>
      <c r="D51" s="31">
        <f>Data!C65-SUM(Data!C67:C69)</f>
        <v/>
      </c>
      <c r="E51" s="31">
        <f>Data!D65-SUM(Data!D67:D69)</f>
        <v/>
      </c>
      <c r="F51" s="31">
        <f>Data!E65-SUM(Data!E67:E69)</f>
        <v/>
      </c>
      <c r="G51" s="31">
        <f>Data!F65-SUM(Data!F67:F69)</f>
        <v/>
      </c>
      <c r="H51" s="31">
        <f>Data!G65-SUM(Data!G67:G69)</f>
        <v/>
      </c>
      <c r="I51" s="31">
        <f>Data!H65-SUM(Data!H67:H69)</f>
        <v/>
      </c>
      <c r="J51" s="31">
        <f>Data!I65-SUM(Data!I67:I69)</f>
        <v/>
      </c>
      <c r="K51" s="31">
        <f>Data!J65-SUM(Data!J67:J69)</f>
        <v/>
      </c>
      <c r="L51" s="31">
        <f>Data!K65-SUM(Data!K67:K69)</f>
        <v/>
      </c>
      <c r="M51" s="55">
        <f>_xlfn.FORECAST.LINEAR(M$3,$C51:$L51,$C$3:$L$3)</f>
        <v/>
      </c>
      <c r="N51" s="55">
        <f>_xlfn.FORECAST.LINEAR(N$3,$C51:$L51,$C$3:$L$3)</f>
        <v/>
      </c>
      <c r="O51" s="55">
        <f>_xlfn.FORECAST.LINEAR(O$3,$C51:$L51,$C$3:$L$3)</f>
        <v/>
      </c>
      <c r="P51" s="55">
        <f>_xlfn.FORECAST.LINEAR(P$3,$C51:$L51,$C$3:$L$3)</f>
        <v/>
      </c>
      <c r="Q51" s="55">
        <f>_xlfn.FORECAST.LINEAR(Q$3,$C51:$L51,$C$3:$L$3)</f>
        <v/>
      </c>
    </row>
    <row r="52">
      <c r="B52" s="115" t="inlineStr">
        <is>
          <t>Total Non Current Assets</t>
        </is>
      </c>
      <c r="C52" s="41">
        <f>SUM(C48:C51)</f>
        <v/>
      </c>
      <c r="D52" s="41">
        <f>SUM(D48:D51)</f>
        <v/>
      </c>
      <c r="E52" s="41">
        <f>SUM(E48:E51)</f>
        <v/>
      </c>
      <c r="F52" s="41">
        <f>SUM(F48:F51)</f>
        <v/>
      </c>
      <c r="G52" s="41">
        <f>SUM(G48:G51)</f>
        <v/>
      </c>
      <c r="H52" s="41">
        <f>SUM(H48:H51)</f>
        <v/>
      </c>
      <c r="I52" s="41">
        <f>SUM(I48:I51)</f>
        <v/>
      </c>
      <c r="J52" s="41">
        <f>SUM(J48:J51)</f>
        <v/>
      </c>
      <c r="K52" s="41">
        <f>SUM(K48:K51)</f>
        <v/>
      </c>
      <c r="L52" s="41">
        <f>SUM(L48:L51)</f>
        <v/>
      </c>
      <c r="M52" s="61">
        <f>_xlfn.FORECAST.LINEAR(M$3,$C52:$L52,$C$3:$L$3)</f>
        <v/>
      </c>
      <c r="N52" s="61">
        <f>_xlfn.FORECAST.LINEAR(N$3,$C52:$L52,$C$3:$L$3)</f>
        <v/>
      </c>
      <c r="O52" s="61">
        <f>_xlfn.FORECAST.LINEAR(O$3,$C52:$L52,$C$3:$L$3)</f>
        <v/>
      </c>
      <c r="P52" s="61">
        <f>_xlfn.FORECAST.LINEAR(P$3,$C52:$L52,$C$3:$L$3)</f>
        <v/>
      </c>
      <c r="Q52" s="61">
        <f>_xlfn.FORECAST.LINEAR(Q$3,$C52:$L52,$C$3:$L$3)</f>
        <v/>
      </c>
    </row>
    <row r="53">
      <c r="B53" s="109" t="inlineStr">
        <is>
          <t>Receivables</t>
        </is>
      </c>
      <c r="C53" s="31">
        <f>Data!B67</f>
        <v/>
      </c>
      <c r="D53" s="31">
        <f>Data!C67</f>
        <v/>
      </c>
      <c r="E53" s="31">
        <f>Data!D67</f>
        <v/>
      </c>
      <c r="F53" s="31">
        <f>Data!E67</f>
        <v/>
      </c>
      <c r="G53" s="31">
        <f>Data!F67</f>
        <v/>
      </c>
      <c r="H53" s="31">
        <f>Data!G67</f>
        <v/>
      </c>
      <c r="I53" s="31">
        <f>Data!H67</f>
        <v/>
      </c>
      <c r="J53" s="31">
        <f>Data!I67</f>
        <v/>
      </c>
      <c r="K53" s="31">
        <f>Data!J67</f>
        <v/>
      </c>
      <c r="L53" s="31">
        <f>Data!K67</f>
        <v/>
      </c>
      <c r="M53" s="55">
        <f>_xlfn.FORECAST.LINEAR(M$3,$C53:$L53,$C$3:$L$3)</f>
        <v/>
      </c>
      <c r="N53" s="55">
        <f>_xlfn.FORECAST.LINEAR(N$3,$C53:$L53,$C$3:$L$3)</f>
        <v/>
      </c>
      <c r="O53" s="55">
        <f>_xlfn.FORECAST.LINEAR(O$3,$C53:$L53,$C$3:$L$3)</f>
        <v/>
      </c>
      <c r="P53" s="55">
        <f>_xlfn.FORECAST.LINEAR(P$3,$C53:$L53,$C$3:$L$3)</f>
        <v/>
      </c>
      <c r="Q53" s="55">
        <f>_xlfn.FORECAST.LINEAR(Q$3,$C53:$L53,$C$3:$L$3)</f>
        <v/>
      </c>
    </row>
    <row r="54">
      <c r="B54" s="109" t="inlineStr">
        <is>
          <t>Inventory</t>
        </is>
      </c>
      <c r="C54" s="31">
        <f>Data!B68</f>
        <v/>
      </c>
      <c r="D54" s="31">
        <f>Data!C68</f>
        <v/>
      </c>
      <c r="E54" s="31">
        <f>Data!D68</f>
        <v/>
      </c>
      <c r="F54" s="31">
        <f>Data!E68</f>
        <v/>
      </c>
      <c r="G54" s="31">
        <f>Data!F68</f>
        <v/>
      </c>
      <c r="H54" s="31">
        <f>Data!G68</f>
        <v/>
      </c>
      <c r="I54" s="31">
        <f>Data!H68</f>
        <v/>
      </c>
      <c r="J54" s="31">
        <f>Data!I68</f>
        <v/>
      </c>
      <c r="K54" s="31">
        <f>Data!J68</f>
        <v/>
      </c>
      <c r="L54" s="31">
        <f>Data!K68</f>
        <v/>
      </c>
      <c r="M54" s="55">
        <f>_xlfn.FORECAST.LINEAR(M$3,$C54:$L54,$C$3:$L$3)</f>
        <v/>
      </c>
      <c r="N54" s="55">
        <f>_xlfn.FORECAST.LINEAR(N$3,$C54:$L54,$C$3:$L$3)</f>
        <v/>
      </c>
      <c r="O54" s="55">
        <f>_xlfn.FORECAST.LINEAR(O$3,$C54:$L54,$C$3:$L$3)</f>
        <v/>
      </c>
      <c r="P54" s="55">
        <f>_xlfn.FORECAST.LINEAR(P$3,$C54:$L54,$C$3:$L$3)</f>
        <v/>
      </c>
      <c r="Q54" s="55">
        <f>_xlfn.FORECAST.LINEAR(Q$3,$C54:$L54,$C$3:$L$3)</f>
        <v/>
      </c>
    </row>
    <row r="55">
      <c r="B55" s="114" t="inlineStr">
        <is>
          <t>Cash &amp; Bank</t>
        </is>
      </c>
      <c r="C55" s="31">
        <f>Data!B69</f>
        <v/>
      </c>
      <c r="D55" s="31">
        <f>Data!C69</f>
        <v/>
      </c>
      <c r="E55" s="31">
        <f>Data!D69</f>
        <v/>
      </c>
      <c r="F55" s="31">
        <f>Data!E69</f>
        <v/>
      </c>
      <c r="G55" s="31">
        <f>Data!F69</f>
        <v/>
      </c>
      <c r="H55" s="31">
        <f>Data!G69</f>
        <v/>
      </c>
      <c r="I55" s="31">
        <f>Data!H69</f>
        <v/>
      </c>
      <c r="J55" s="31">
        <f>Data!I69</f>
        <v/>
      </c>
      <c r="K55" s="31">
        <f>Data!J69</f>
        <v/>
      </c>
      <c r="L55" s="31">
        <f>Data!K69</f>
        <v/>
      </c>
      <c r="M55" s="55">
        <f>_xlfn.FORECAST.LINEAR(M$3,$C55:$L55,$C$3:$L$3)</f>
        <v/>
      </c>
      <c r="N55" s="55">
        <f>_xlfn.FORECAST.LINEAR(N$3,$C55:$L55,$C$3:$L$3)</f>
        <v/>
      </c>
      <c r="O55" s="55">
        <f>_xlfn.FORECAST.LINEAR(O$3,$C55:$L55,$C$3:$L$3)</f>
        <v/>
      </c>
      <c r="P55" s="55">
        <f>_xlfn.FORECAST.LINEAR(P$3,$C55:$L55,$C$3:$L$3)</f>
        <v/>
      </c>
      <c r="Q55" s="55">
        <f>_xlfn.FORECAST.LINEAR(Q$3,$C55:$L55,$C$3:$L$3)</f>
        <v/>
      </c>
    </row>
    <row r="56">
      <c r="B56" s="115" t="inlineStr">
        <is>
          <t>Total Current Assets</t>
        </is>
      </c>
      <c r="C56" s="41">
        <f>SUM(C53:C55)</f>
        <v/>
      </c>
      <c r="D56" s="41">
        <f>SUM(D53:D55)</f>
        <v/>
      </c>
      <c r="E56" s="41">
        <f>SUM(E53:E55)</f>
        <v/>
      </c>
      <c r="F56" s="41">
        <f>SUM(F53:F55)</f>
        <v/>
      </c>
      <c r="G56" s="41">
        <f>SUM(G53:G55)</f>
        <v/>
      </c>
      <c r="H56" s="41">
        <f>SUM(H53:H55)</f>
        <v/>
      </c>
      <c r="I56" s="41">
        <f>SUM(I53:I55)</f>
        <v/>
      </c>
      <c r="J56" s="41">
        <f>SUM(J53:J55)</f>
        <v/>
      </c>
      <c r="K56" s="41">
        <f>SUM(K53:K55)</f>
        <v/>
      </c>
      <c r="L56" s="41">
        <f>SUM(L53:L55)</f>
        <v/>
      </c>
      <c r="M56" s="61">
        <f>_xlfn.FORECAST.LINEAR(M$3,$C56:$L56,$C$3:$L$3)</f>
        <v/>
      </c>
      <c r="N56" s="61">
        <f>_xlfn.FORECAST.LINEAR(N$3,$C56:$L56,$C$3:$L$3)</f>
        <v/>
      </c>
      <c r="O56" s="61">
        <f>_xlfn.FORECAST.LINEAR(O$3,$C56:$L56,$C$3:$L$3)</f>
        <v/>
      </c>
      <c r="P56" s="61">
        <f>_xlfn.FORECAST.LINEAR(P$3,$C56:$L56,$C$3:$L$3)</f>
        <v/>
      </c>
      <c r="Q56" s="61">
        <f>_xlfn.FORECAST.LINEAR(Q$3,$C56:$L56,$C$3:$L$3)</f>
        <v/>
      </c>
    </row>
    <row r="57">
      <c r="B57" s="37" t="n"/>
      <c r="C57" s="42" t="n"/>
      <c r="D57" s="42" t="n"/>
      <c r="E57" s="42" t="n"/>
      <c r="F57" s="42" t="n"/>
      <c r="G57" s="42" t="n"/>
      <c r="H57" s="42" t="n"/>
      <c r="I57" s="42" t="n"/>
      <c r="J57" s="42" t="n"/>
      <c r="K57" s="42" t="n"/>
      <c r="L57" s="42" t="n"/>
    </row>
    <row r="58">
      <c r="B58" s="38" t="inlineStr">
        <is>
          <t>Total Assets</t>
        </is>
      </c>
      <c r="C58" s="40">
        <f>C52+C56</f>
        <v/>
      </c>
      <c r="D58" s="40">
        <f>D52+D56</f>
        <v/>
      </c>
      <c r="E58" s="40">
        <f>E52+E56</f>
        <v/>
      </c>
      <c r="F58" s="40">
        <f>F52+F56</f>
        <v/>
      </c>
      <c r="G58" s="40">
        <f>G52+G56</f>
        <v/>
      </c>
      <c r="H58" s="40">
        <f>H52+H56</f>
        <v/>
      </c>
      <c r="I58" s="40">
        <f>I52+I56</f>
        <v/>
      </c>
      <c r="J58" s="40">
        <f>J52+J56</f>
        <v/>
      </c>
      <c r="K58" s="40">
        <f>K52+K56</f>
        <v/>
      </c>
      <c r="L58" s="40">
        <f>L52+L56</f>
        <v/>
      </c>
      <c r="M58" s="59">
        <f>_xlfn.FORECAST.LINEAR(M$3,$C58:$L58,$C$3:$L$3)</f>
        <v/>
      </c>
      <c r="N58" s="59">
        <f>_xlfn.FORECAST.LINEAR(N$3,$C58:$L58,$C$3:$L$3)</f>
        <v/>
      </c>
      <c r="O58" s="59">
        <f>_xlfn.FORECAST.LINEAR(O$3,$C58:$L58,$C$3:$L$3)</f>
        <v/>
      </c>
      <c r="P58" s="59">
        <f>_xlfn.FORECAST.LINEAR(P$3,$C58:$L58,$C$3:$L$3)</f>
        <v/>
      </c>
      <c r="Q58" s="59">
        <f>_xlfn.FORECAST.LINEAR(Q$3,$C58:$L58,$C$3:$L$3)</f>
        <v/>
      </c>
    </row>
    <row r="60">
      <c r="A60" s="2" t="inlineStr">
        <is>
          <t>#</t>
        </is>
      </c>
      <c r="B60" s="27" t="inlineStr">
        <is>
          <t>Cash Flow Statement</t>
        </is>
      </c>
      <c r="C60" s="43" t="n"/>
      <c r="D60" s="43" t="n"/>
      <c r="E60" s="43" t="n"/>
      <c r="F60" s="43" t="n"/>
      <c r="G60" s="43" t="n"/>
      <c r="H60" s="43" t="n"/>
      <c r="I60" s="43" t="n"/>
      <c r="J60" s="43" t="n"/>
      <c r="K60" s="43" t="n"/>
      <c r="L60" s="43" t="n"/>
      <c r="M60" s="43" t="n"/>
      <c r="N60" s="43" t="n"/>
      <c r="O60" s="43" t="n"/>
      <c r="P60" s="43" t="n"/>
      <c r="Q60" s="43" t="n"/>
    </row>
    <row r="61">
      <c r="A61" s="2" t="n"/>
      <c r="B61" s="37" t="n"/>
      <c r="C61" s="46" t="n"/>
      <c r="D61" s="46" t="n"/>
      <c r="E61" s="46" t="n"/>
      <c r="F61" s="46" t="n"/>
      <c r="G61" s="46" t="n"/>
      <c r="H61" s="46" t="n"/>
      <c r="I61" s="46" t="n"/>
      <c r="J61" s="46" t="n"/>
      <c r="K61" s="46" t="n"/>
      <c r="L61" s="46" t="n"/>
    </row>
    <row r="62">
      <c r="B62" s="47" t="inlineStr">
        <is>
          <t>Cash from Operating activities</t>
        </is>
      </c>
    </row>
    <row r="63">
      <c r="B63" s="44" t="inlineStr">
        <is>
          <t>Profit from operations</t>
        </is>
      </c>
      <c r="C63" s="48" t="n">
        <v>6025</v>
      </c>
      <c r="D63" s="48" t="n">
        <v>6512</v>
      </c>
      <c r="E63" s="48" t="n">
        <v>7485</v>
      </c>
      <c r="F63" s="48" t="n">
        <v>8909</v>
      </c>
      <c r="G63" s="48" t="n">
        <v>9723</v>
      </c>
      <c r="H63" s="48" t="n">
        <v>11672</v>
      </c>
      <c r="I63" s="48" t="n">
        <v>12829</v>
      </c>
      <c r="J63" s="48" t="n">
        <v>14089</v>
      </c>
      <c r="K63" s="48" t="n">
        <v>14537</v>
      </c>
      <c r="L63" s="48" t="n">
        <v>14942</v>
      </c>
      <c r="M63" s="55">
        <f>_xlfn.FORECAST.LINEAR(M$3,$C63:$L63,$C$3:$L$3)</f>
        <v/>
      </c>
      <c r="N63" s="55">
        <f>_xlfn.FORECAST.LINEAR(N$3,$C63:$L63,$C$3:$L$3)</f>
        <v/>
      </c>
      <c r="O63" s="55">
        <f>_xlfn.FORECAST.LINEAR(O$3,$C63:$L63,$C$3:$L$3)</f>
        <v/>
      </c>
      <c r="P63" s="55">
        <f>_xlfn.FORECAST.LINEAR(P$3,$C63:$L63,$C$3:$L$3)</f>
        <v/>
      </c>
      <c r="Q63" s="55">
        <f>_xlfn.FORECAST.LINEAR(Q$3,$C63:$L63,$C$3:$L$3)</f>
        <v/>
      </c>
    </row>
    <row r="64">
      <c r="B64" s="44" t="inlineStr">
        <is>
          <t>Receivables</t>
        </is>
      </c>
      <c r="C64" s="48" t="n">
        <v>-257</v>
      </c>
      <c r="D64" s="48" t="n">
        <v>173</v>
      </c>
      <c r="E64" s="48" t="n">
        <v>0</v>
      </c>
      <c r="F64" s="48" t="n">
        <v>0</v>
      </c>
      <c r="G64" s="48" t="n">
        <v>0</v>
      </c>
      <c r="H64" s="48" t="n">
        <v>0</v>
      </c>
      <c r="I64" s="48" t="n">
        <v>0</v>
      </c>
      <c r="J64" s="48" t="n">
        <v>0</v>
      </c>
      <c r="K64" s="48" t="n">
        <v>0</v>
      </c>
      <c r="L64" s="48" t="n">
        <v>0</v>
      </c>
      <c r="M64" s="55">
        <f>_xlfn.FORECAST.LINEAR(M$3,$C64:$L64,$C$3:$L$3)</f>
        <v/>
      </c>
      <c r="N64" s="55">
        <f>_xlfn.FORECAST.LINEAR(N$3,$C64:$L64,$C$3:$L$3)</f>
        <v/>
      </c>
      <c r="O64" s="55">
        <f>_xlfn.FORECAST.LINEAR(O$3,$C64:$L64,$C$3:$L$3)</f>
        <v/>
      </c>
      <c r="P64" s="55">
        <f>_xlfn.FORECAST.LINEAR(P$3,$C64:$L64,$C$3:$L$3)</f>
        <v/>
      </c>
      <c r="Q64" s="55">
        <f>_xlfn.FORECAST.LINEAR(Q$3,$C64:$L64,$C$3:$L$3)</f>
        <v/>
      </c>
    </row>
    <row r="65">
      <c r="B65" s="44" t="inlineStr">
        <is>
          <t>Inventory</t>
        </is>
      </c>
      <c r="C65" s="48" t="n">
        <v>89</v>
      </c>
      <c r="D65" s="48" t="n">
        <v>37</v>
      </c>
      <c r="E65" s="48" t="n">
        <v>-146</v>
      </c>
      <c r="F65" s="48" t="n">
        <v>-195</v>
      </c>
      <c r="G65" s="48" t="n">
        <v>-331</v>
      </c>
      <c r="H65" s="48" t="n">
        <v>-543</v>
      </c>
      <c r="I65" s="48" t="n">
        <v>-758</v>
      </c>
      <c r="J65" s="48" t="n">
        <v>-339</v>
      </c>
      <c r="K65" s="48" t="n">
        <v>74</v>
      </c>
      <c r="L65" s="48" t="n">
        <v>-584</v>
      </c>
      <c r="M65" s="55">
        <f>_xlfn.FORECAST.LINEAR(M$3,$C65:$L65,$C$3:$L$3)</f>
        <v/>
      </c>
      <c r="N65" s="55">
        <f>_xlfn.FORECAST.LINEAR(N$3,$C65:$L65,$C$3:$L$3)</f>
        <v/>
      </c>
      <c r="O65" s="55">
        <f>_xlfn.FORECAST.LINEAR(O$3,$C65:$L65,$C$3:$L$3)</f>
        <v/>
      </c>
      <c r="P65" s="55">
        <f>_xlfn.FORECAST.LINEAR(P$3,$C65:$L65,$C$3:$L$3)</f>
        <v/>
      </c>
      <c r="Q65" s="55">
        <f>_xlfn.FORECAST.LINEAR(Q$3,$C65:$L65,$C$3:$L$3)</f>
        <v/>
      </c>
    </row>
    <row r="66">
      <c r="B66" s="44" t="inlineStr">
        <is>
          <t>Payables</t>
        </is>
      </c>
      <c r="C66" s="48" t="n">
        <v>164</v>
      </c>
      <c r="D66" s="48" t="n">
        <v>501</v>
      </c>
      <c r="E66" s="48" t="n">
        <v>0</v>
      </c>
      <c r="F66" s="48" t="n">
        <v>0</v>
      </c>
      <c r="G66" s="48" t="n">
        <v>0</v>
      </c>
      <c r="H66" s="48" t="n">
        <v>0</v>
      </c>
      <c r="I66" s="48" t="n">
        <v>0</v>
      </c>
      <c r="J66" s="48" t="n">
        <v>0</v>
      </c>
      <c r="K66" s="48" t="n">
        <v>0</v>
      </c>
      <c r="L66" s="48" t="n">
        <v>0</v>
      </c>
      <c r="M66" s="55">
        <f>_xlfn.FORECAST.LINEAR(M$3,$C66:$L66,$C$3:$L$3)</f>
        <v/>
      </c>
      <c r="N66" s="55">
        <f>_xlfn.FORECAST.LINEAR(N$3,$C66:$L66,$C$3:$L$3)</f>
        <v/>
      </c>
      <c r="O66" s="55">
        <f>_xlfn.FORECAST.LINEAR(O$3,$C66:$L66,$C$3:$L$3)</f>
        <v/>
      </c>
      <c r="P66" s="55">
        <f>_xlfn.FORECAST.LINEAR(P$3,$C66:$L66,$C$3:$L$3)</f>
        <v/>
      </c>
      <c r="Q66" s="55">
        <f>_xlfn.FORECAST.LINEAR(Q$3,$C66:$L66,$C$3:$L$3)</f>
        <v/>
      </c>
    </row>
    <row r="67">
      <c r="B67" s="44" t="inlineStr">
        <is>
          <t>Loans Advances</t>
        </is>
      </c>
      <c r="C67" s="48" t="n">
        <v>0</v>
      </c>
      <c r="D67" s="48" t="n">
        <v>0</v>
      </c>
      <c r="E67" s="48" t="n">
        <v>0</v>
      </c>
      <c r="F67" s="48" t="n">
        <v>0</v>
      </c>
      <c r="G67" s="48" t="n">
        <v>0</v>
      </c>
      <c r="H67" s="48" t="n">
        <v>0</v>
      </c>
      <c r="I67" s="48" t="n">
        <v>0</v>
      </c>
      <c r="J67" s="48" t="n">
        <v>0</v>
      </c>
      <c r="K67" s="48" t="n">
        <v>0</v>
      </c>
      <c r="L67" s="48" t="n">
        <v>0</v>
      </c>
      <c r="M67" s="55">
        <f>_xlfn.FORECAST.LINEAR(M$3,$C67:$L67,$C$3:$L$3)</f>
        <v/>
      </c>
      <c r="N67" s="55">
        <f>_xlfn.FORECAST.LINEAR(N$3,$C67:$L67,$C$3:$L$3)</f>
        <v/>
      </c>
      <c r="O67" s="55">
        <f>_xlfn.FORECAST.LINEAR(O$3,$C67:$L67,$C$3:$L$3)</f>
        <v/>
      </c>
      <c r="P67" s="55">
        <f>_xlfn.FORECAST.LINEAR(P$3,$C67:$L67,$C$3:$L$3)</f>
        <v/>
      </c>
      <c r="Q67" s="55">
        <f>_xlfn.FORECAST.LINEAR(Q$3,$C67:$L67,$C$3:$L$3)</f>
        <v/>
      </c>
    </row>
    <row r="68">
      <c r="B68" s="44" t="inlineStr">
        <is>
          <t>Operating Deposits</t>
        </is>
      </c>
      <c r="C68" s="48" t="n">
        <v>0</v>
      </c>
      <c r="D68" s="48" t="n">
        <v>-46</v>
      </c>
      <c r="E68" s="48" t="n">
        <v>0</v>
      </c>
      <c r="F68" s="48" t="n">
        <v>0</v>
      </c>
      <c r="G68" s="48" t="n">
        <v>0</v>
      </c>
      <c r="H68" s="48" t="n">
        <v>0</v>
      </c>
      <c r="I68" s="48" t="n">
        <v>0</v>
      </c>
      <c r="J68" s="48" t="n">
        <v>0</v>
      </c>
      <c r="K68" s="48" t="n">
        <v>0</v>
      </c>
      <c r="L68" s="48" t="n">
        <v>0</v>
      </c>
      <c r="M68" s="55">
        <f>_xlfn.FORECAST.LINEAR(M$3,$C68:$L68,$C$3:$L$3)</f>
        <v/>
      </c>
      <c r="N68" s="55">
        <f>_xlfn.FORECAST.LINEAR(N$3,$C68:$L68,$C$3:$L$3)</f>
        <v/>
      </c>
      <c r="O68" s="55">
        <f>_xlfn.FORECAST.LINEAR(O$3,$C68:$L68,$C$3:$L$3)</f>
        <v/>
      </c>
      <c r="P68" s="55">
        <f>_xlfn.FORECAST.LINEAR(P$3,$C68:$L68,$C$3:$L$3)</f>
        <v/>
      </c>
      <c r="Q68" s="55">
        <f>_xlfn.FORECAST.LINEAR(Q$3,$C68:$L68,$C$3:$L$3)</f>
        <v/>
      </c>
    </row>
    <row r="69">
      <c r="B69" s="44" t="inlineStr">
        <is>
          <t>Other WC items</t>
        </is>
      </c>
      <c r="C69" s="48" t="n">
        <v>-77</v>
      </c>
      <c r="D69" s="48" t="n">
        <v>-99</v>
      </c>
      <c r="E69" s="48" t="n">
        <v>982</v>
      </c>
      <c r="F69" s="48" t="n">
        <v>-147</v>
      </c>
      <c r="G69" s="48" t="n">
        <v>742</v>
      </c>
      <c r="H69" s="48" t="n">
        <v>442</v>
      </c>
      <c r="I69" s="48" t="n">
        <v>-242</v>
      </c>
      <c r="J69" s="48" t="n">
        <v>-621</v>
      </c>
      <c r="K69" s="48" t="n">
        <v>1239</v>
      </c>
      <c r="L69" s="48" t="n">
        <v>-204</v>
      </c>
      <c r="M69" s="55">
        <f>_xlfn.FORECAST.LINEAR(M$3,$C69:$L69,$C$3:$L$3)</f>
        <v/>
      </c>
      <c r="N69" s="55">
        <f>_xlfn.FORECAST.LINEAR(N$3,$C69:$L69,$C$3:$L$3)</f>
        <v/>
      </c>
      <c r="O69" s="55">
        <f>_xlfn.FORECAST.LINEAR(O$3,$C69:$L69,$C$3:$L$3)</f>
        <v/>
      </c>
      <c r="P69" s="55">
        <f>_xlfn.FORECAST.LINEAR(P$3,$C69:$L69,$C$3:$L$3)</f>
        <v/>
      </c>
      <c r="Q69" s="55">
        <f>_xlfn.FORECAST.LINEAR(Q$3,$C69:$L69,$C$3:$L$3)</f>
        <v/>
      </c>
    </row>
    <row r="70">
      <c r="B70" s="44" t="inlineStr">
        <is>
          <t>Working capital changes</t>
        </is>
      </c>
      <c r="C70" s="48" t="n">
        <v>-81</v>
      </c>
      <c r="D70" s="48" t="n">
        <v>566</v>
      </c>
      <c r="E70" s="48" t="n">
        <v>836</v>
      </c>
      <c r="F70" s="48" t="n">
        <v>-342</v>
      </c>
      <c r="G70" s="48" t="n">
        <v>411</v>
      </c>
      <c r="H70" s="48" t="n">
        <v>-101</v>
      </c>
      <c r="I70" s="48" t="n">
        <v>-1000</v>
      </c>
      <c r="J70" s="48" t="n">
        <v>-960</v>
      </c>
      <c r="K70" s="48" t="n">
        <v>1313</v>
      </c>
      <c r="L70" s="48" t="n">
        <v>-788</v>
      </c>
      <c r="M70" s="55">
        <f>_xlfn.FORECAST.LINEAR(M$3,$C70:$L70,$C$3:$L$3)</f>
        <v/>
      </c>
      <c r="N70" s="55">
        <f>_xlfn.FORECAST.LINEAR(N$3,$C70:$L70,$C$3:$L$3)</f>
        <v/>
      </c>
      <c r="O70" s="55">
        <f>_xlfn.FORECAST.LINEAR(O$3,$C70:$L70,$C$3:$L$3)</f>
        <v/>
      </c>
      <c r="P70" s="55">
        <f>_xlfn.FORECAST.LINEAR(P$3,$C70:$L70,$C$3:$L$3)</f>
        <v/>
      </c>
      <c r="Q70" s="55">
        <f>_xlfn.FORECAST.LINEAR(Q$3,$C70:$L70,$C$3:$L$3)</f>
        <v/>
      </c>
    </row>
    <row r="71">
      <c r="B71" s="44" t="inlineStr">
        <is>
          <t>Direct taxes</t>
        </is>
      </c>
      <c r="C71" s="48" t="n">
        <v>-1765</v>
      </c>
      <c r="D71" s="48" t="n">
        <v>-1859</v>
      </c>
      <c r="E71" s="48" t="n">
        <v>-2264</v>
      </c>
      <c r="F71" s="48" t="n">
        <v>-2767</v>
      </c>
      <c r="G71" s="48" t="n">
        <v>-2505</v>
      </c>
      <c r="H71" s="48" t="n">
        <v>-2407</v>
      </c>
      <c r="I71" s="48" t="n">
        <v>-2784</v>
      </c>
      <c r="J71" s="48" t="n">
        <v>-3138</v>
      </c>
      <c r="K71" s="48" t="n">
        <v>-381</v>
      </c>
      <c r="L71" s="48" t="n">
        <v>-2268</v>
      </c>
      <c r="M71" s="55">
        <f>_xlfn.FORECAST.LINEAR(M$3,$C71:$L71,$C$3:$L$3)</f>
        <v/>
      </c>
      <c r="N71" s="55">
        <f>_xlfn.FORECAST.LINEAR(N$3,$C71:$L71,$C$3:$L$3)</f>
        <v/>
      </c>
      <c r="O71" s="55">
        <f>_xlfn.FORECAST.LINEAR(O$3,$C71:$L71,$C$3:$L$3)</f>
        <v/>
      </c>
      <c r="P71" s="55">
        <f>_xlfn.FORECAST.LINEAR(P$3,$C71:$L71,$C$3:$L$3)</f>
        <v/>
      </c>
      <c r="Q71" s="55">
        <f>_xlfn.FORECAST.LINEAR(Q$3,$C71:$L71,$C$3:$L$3)</f>
        <v/>
      </c>
    </row>
    <row r="72">
      <c r="B72" s="44" t="inlineStr">
        <is>
          <t>Other operating items</t>
        </is>
      </c>
      <c r="C72" s="48" t="n">
        <v>-8</v>
      </c>
      <c r="D72" s="48" t="n">
        <v>-21</v>
      </c>
      <c r="E72" s="48" t="n">
        <v>0</v>
      </c>
      <c r="F72" s="48" t="n">
        <v>0</v>
      </c>
      <c r="G72" s="48" t="n">
        <v>0</v>
      </c>
      <c r="H72" s="48" t="n">
        <v>0</v>
      </c>
      <c r="I72" s="48" t="n">
        <v>0</v>
      </c>
      <c r="J72" s="48" t="n">
        <v>0</v>
      </c>
      <c r="K72" s="48" t="n">
        <v>0</v>
      </c>
      <c r="L72" s="48" t="n">
        <v>0</v>
      </c>
      <c r="M72" s="55">
        <f>_xlfn.FORECAST.LINEAR(M$3,$C72:$L72,$C$3:$L$3)</f>
        <v/>
      </c>
      <c r="N72" s="55">
        <f>_xlfn.FORECAST.LINEAR(N$3,$C72:$L72,$C$3:$L$3)</f>
        <v/>
      </c>
      <c r="O72" s="55">
        <f>_xlfn.FORECAST.LINEAR(O$3,$C72:$L72,$C$3:$L$3)</f>
        <v/>
      </c>
      <c r="P72" s="55">
        <f>_xlfn.FORECAST.LINEAR(P$3,$C72:$L72,$C$3:$L$3)</f>
        <v/>
      </c>
      <c r="Q72" s="55">
        <f>_xlfn.FORECAST.LINEAR(Q$3,$C72:$L72,$C$3:$L$3)</f>
        <v/>
      </c>
    </row>
    <row r="73" ht="15" customHeight="1" thickBot="1">
      <c r="B73" s="44" t="inlineStr">
        <is>
          <t>Exceptional CF items</t>
        </is>
      </c>
      <c r="C73" s="48" t="n">
        <v>0</v>
      </c>
      <c r="D73" s="48" t="n">
        <v>-13</v>
      </c>
      <c r="E73" s="48" t="n">
        <v>2</v>
      </c>
      <c r="F73" s="48" t="n">
        <v>0</v>
      </c>
      <c r="G73" s="48" t="n">
        <v>-6</v>
      </c>
      <c r="H73" s="48" t="n">
        <v>-1</v>
      </c>
      <c r="I73" s="48" t="n">
        <v>3</v>
      </c>
      <c r="J73" s="48" t="n">
        <v>0</v>
      </c>
      <c r="K73" s="48" t="n">
        <v>0</v>
      </c>
      <c r="L73" s="48" t="n">
        <v>0</v>
      </c>
      <c r="M73" s="55">
        <f>_xlfn.FORECAST.LINEAR(M$3,$C73:$L73,$C$3:$L$3)</f>
        <v/>
      </c>
      <c r="N73" s="55">
        <f>_xlfn.FORECAST.LINEAR(N$3,$C73:$L73,$C$3:$L$3)</f>
        <v/>
      </c>
      <c r="O73" s="55">
        <f>_xlfn.FORECAST.LINEAR(O$3,$C73:$L73,$C$3:$L$3)</f>
        <v/>
      </c>
      <c r="P73" s="55">
        <f>_xlfn.FORECAST.LINEAR(P$3,$C73:$L73,$C$3:$L$3)</f>
        <v/>
      </c>
      <c r="Q73" s="55">
        <f>_xlfn.FORECAST.LINEAR(Q$3,$C73:$L73,$C$3:$L$3)</f>
        <v/>
      </c>
    </row>
    <row r="74" customFormat="1" s="2">
      <c r="B74" s="50" t="inlineStr">
        <is>
          <t>Cash flow from Operating activities</t>
        </is>
      </c>
      <c r="C74" s="51">
        <f>SUM(C63:C73)</f>
        <v/>
      </c>
      <c r="D74" s="51">
        <f>SUM(D63:D73)</f>
        <v/>
      </c>
      <c r="E74" s="51">
        <f>SUM(E63:E73)</f>
        <v/>
      </c>
      <c r="F74" s="51">
        <f>SUM(F63:F73)</f>
        <v/>
      </c>
      <c r="G74" s="51">
        <f>SUM(G63:G73)</f>
        <v/>
      </c>
      <c r="H74" s="51">
        <f>SUM(H63:H73)</f>
        <v/>
      </c>
      <c r="I74" s="51">
        <f>SUM(I63:I73)</f>
        <v/>
      </c>
      <c r="J74" s="51">
        <f>SUM(J63:J73)</f>
        <v/>
      </c>
      <c r="K74" s="51">
        <f>SUM(K63:K73)</f>
        <v/>
      </c>
      <c r="L74" s="51">
        <f>SUM(L63:L73)</f>
        <v/>
      </c>
      <c r="M74" s="62">
        <f>_xlfn.FORECAST.LINEAR(M$3,$C74:$L74,$C$3:$L$3)</f>
        <v/>
      </c>
      <c r="N74" s="62">
        <f>_xlfn.FORECAST.LINEAR(N$3,$C74:$L74,$C$3:$L$3)</f>
        <v/>
      </c>
      <c r="O74" s="62">
        <f>_xlfn.FORECAST.LINEAR(O$3,$C74:$L74,$C$3:$L$3)</f>
        <v/>
      </c>
      <c r="P74" s="62">
        <f>_xlfn.FORECAST.LINEAR(P$3,$C74:$L74,$C$3:$L$3)</f>
        <v/>
      </c>
      <c r="Q74" s="62">
        <f>_xlfn.FORECAST.LINEAR(Q$3,$C74:$L74,$C$3:$L$3)</f>
        <v/>
      </c>
    </row>
    <row r="75">
      <c r="C75" s="49" t="n"/>
      <c r="D75" s="49" t="n"/>
      <c r="E75" s="49" t="n"/>
      <c r="F75" s="49" t="n"/>
      <c r="G75" s="49" t="n"/>
      <c r="H75" s="49" t="n"/>
      <c r="I75" s="49" t="n"/>
      <c r="J75" s="49" t="n"/>
      <c r="K75" s="49" t="n"/>
      <c r="L75" s="49" t="n"/>
      <c r="M75" s="54" t="n"/>
      <c r="N75" s="54" t="n"/>
      <c r="O75" s="54" t="n"/>
      <c r="P75" s="54" t="n"/>
      <c r="Q75" s="54" t="n"/>
    </row>
    <row r="76">
      <c r="B76" s="37" t="inlineStr">
        <is>
          <t>Cash from investing activities</t>
        </is>
      </c>
      <c r="C76" s="49" t="n"/>
      <c r="D76" s="49" t="n"/>
      <c r="E76" s="49" t="n"/>
      <c r="F76" s="49" t="n"/>
      <c r="G76" s="49" t="n"/>
      <c r="H76" s="49" t="n"/>
      <c r="I76" s="49" t="n"/>
      <c r="J76" s="49" t="n"/>
      <c r="K76" s="49" t="n"/>
      <c r="L76" s="49" t="n"/>
      <c r="M76" s="54" t="n"/>
      <c r="N76" s="54" t="n"/>
      <c r="O76" s="54" t="n"/>
      <c r="P76" s="54" t="n"/>
      <c r="Q76" s="54" t="n"/>
    </row>
    <row r="77">
      <c r="B77" s="44" t="inlineStr">
        <is>
          <t>Fixed assets purchased</t>
        </is>
      </c>
      <c r="C77" s="48" t="n">
        <v>-810</v>
      </c>
      <c r="D77" s="48" t="n">
        <v>-1113</v>
      </c>
      <c r="E77" s="48" t="n">
        <v>-895</v>
      </c>
      <c r="F77" s="48" t="n">
        <v>-767</v>
      </c>
      <c r="G77" s="48" t="n">
        <v>-862</v>
      </c>
      <c r="H77" s="48" t="n">
        <v>-4163</v>
      </c>
      <c r="I77" s="48" t="n">
        <v>-1228</v>
      </c>
      <c r="J77" s="48" t="n">
        <v>-1192</v>
      </c>
      <c r="K77" s="48" t="n">
        <v>-1477</v>
      </c>
      <c r="L77" s="48" t="n">
        <v>-1275</v>
      </c>
      <c r="M77" s="55">
        <f>_xlfn.FORECAST.LINEAR(M$3,$C77:$L77,$C$3:$L$3)</f>
        <v/>
      </c>
      <c r="N77" s="55">
        <f>_xlfn.FORECAST.LINEAR(N$3,$C77:$L77,$C$3:$L$3)</f>
        <v/>
      </c>
      <c r="O77" s="55">
        <f>_xlfn.FORECAST.LINEAR(O$3,$C77:$L77,$C$3:$L$3)</f>
        <v/>
      </c>
      <c r="P77" s="55">
        <f>_xlfn.FORECAST.LINEAR(P$3,$C77:$L77,$C$3:$L$3)</f>
        <v/>
      </c>
      <c r="Q77" s="55">
        <f>_xlfn.FORECAST.LINEAR(Q$3,$C77:$L77,$C$3:$L$3)</f>
        <v/>
      </c>
    </row>
    <row r="78">
      <c r="B78" s="44" t="inlineStr">
        <is>
          <t>Fixed assets sold</t>
        </is>
      </c>
      <c r="C78" s="48" t="n">
        <v>99</v>
      </c>
      <c r="D78" s="48" t="n">
        <v>176</v>
      </c>
      <c r="E78" s="48" t="n">
        <v>32</v>
      </c>
      <c r="F78" s="48" t="n">
        <v>13</v>
      </c>
      <c r="G78" s="48" t="n">
        <v>52</v>
      </c>
      <c r="H78" s="48" t="n">
        <v>97</v>
      </c>
      <c r="I78" s="48" t="n">
        <v>175</v>
      </c>
      <c r="J78" s="48" t="n">
        <v>181</v>
      </c>
      <c r="K78" s="48" t="n">
        <v>20</v>
      </c>
      <c r="L78" s="48" t="n">
        <v>13</v>
      </c>
      <c r="M78" s="55">
        <f>_xlfn.FORECAST.LINEAR(M$3,$C78:$L78,$C$3:$L$3)</f>
        <v/>
      </c>
      <c r="N78" s="55">
        <f>_xlfn.FORECAST.LINEAR(N$3,$C78:$L78,$C$3:$L$3)</f>
        <v/>
      </c>
      <c r="O78" s="55">
        <f>_xlfn.FORECAST.LINEAR(O$3,$C78:$L78,$C$3:$L$3)</f>
        <v/>
      </c>
      <c r="P78" s="55">
        <f>_xlfn.FORECAST.LINEAR(P$3,$C78:$L78,$C$3:$L$3)</f>
        <v/>
      </c>
      <c r="Q78" s="55">
        <f>_xlfn.FORECAST.LINEAR(Q$3,$C78:$L78,$C$3:$L$3)</f>
        <v/>
      </c>
    </row>
    <row r="79">
      <c r="B79" s="44" t="inlineStr">
        <is>
          <t>Investments purchased</t>
        </is>
      </c>
      <c r="C79" s="48" t="n">
        <v>-20666</v>
      </c>
      <c r="D79" s="48" t="n">
        <v>-31214</v>
      </c>
      <c r="E79" s="48" t="n">
        <v>-51855</v>
      </c>
      <c r="F79" s="48" t="n">
        <v>-74365</v>
      </c>
      <c r="G79" s="48" t="n">
        <v>-36090</v>
      </c>
      <c r="H79" s="48" t="n">
        <v>-39920</v>
      </c>
      <c r="I79" s="48" t="n">
        <v>-48522</v>
      </c>
      <c r="J79" s="48" t="n">
        <v>-22649</v>
      </c>
      <c r="K79" s="48" t="n">
        <v>-21337</v>
      </c>
      <c r="L79" s="48" t="n">
        <v>-22957</v>
      </c>
      <c r="M79" s="55">
        <f>_xlfn.FORECAST.LINEAR(M$3,$C79:$L79,$C$3:$L$3)</f>
        <v/>
      </c>
      <c r="N79" s="55">
        <f>_xlfn.FORECAST.LINEAR(N$3,$C79:$L79,$C$3:$L$3)</f>
        <v/>
      </c>
      <c r="O79" s="55">
        <f>_xlfn.FORECAST.LINEAR(O$3,$C79:$L79,$C$3:$L$3)</f>
        <v/>
      </c>
      <c r="P79" s="55">
        <f>_xlfn.FORECAST.LINEAR(P$3,$C79:$L79,$C$3:$L$3)</f>
        <v/>
      </c>
      <c r="Q79" s="55">
        <f>_xlfn.FORECAST.LINEAR(Q$3,$C79:$L79,$C$3:$L$3)</f>
        <v/>
      </c>
    </row>
    <row r="80">
      <c r="B80" s="44" t="inlineStr">
        <is>
          <t>Investments sold</t>
        </is>
      </c>
      <c r="C80" s="48" t="n">
        <v>20937</v>
      </c>
      <c r="D80" s="48" t="n">
        <v>30083</v>
      </c>
      <c r="E80" s="48" t="n">
        <v>52897</v>
      </c>
      <c r="F80" s="48" t="n">
        <v>74691</v>
      </c>
      <c r="G80" s="48" t="n">
        <v>37690</v>
      </c>
      <c r="H80" s="48" t="n">
        <v>38486</v>
      </c>
      <c r="I80" s="48" t="n">
        <v>47786</v>
      </c>
      <c r="J80" s="48" t="n">
        <v>23462</v>
      </c>
      <c r="K80" s="48" t="n">
        <v>19846</v>
      </c>
      <c r="L80" s="48" t="n">
        <v>23987</v>
      </c>
      <c r="M80" s="55">
        <f>_xlfn.FORECAST.LINEAR(M$3,$C80:$L80,$C$3:$L$3)</f>
        <v/>
      </c>
      <c r="N80" s="55">
        <f>_xlfn.FORECAST.LINEAR(N$3,$C80:$L80,$C$3:$L$3)</f>
        <v/>
      </c>
      <c r="O80" s="55">
        <f>_xlfn.FORECAST.LINEAR(O$3,$C80:$L80,$C$3:$L$3)</f>
        <v/>
      </c>
      <c r="P80" s="55">
        <f>_xlfn.FORECAST.LINEAR(P$3,$C80:$L80,$C$3:$L$3)</f>
        <v/>
      </c>
      <c r="Q80" s="55">
        <f>_xlfn.FORECAST.LINEAR(Q$3,$C80:$L80,$C$3:$L$3)</f>
        <v/>
      </c>
    </row>
    <row r="81">
      <c r="B81" s="44" t="inlineStr">
        <is>
          <t>Interest received</t>
        </is>
      </c>
      <c r="C81" s="48" t="n">
        <v>315</v>
      </c>
      <c r="D81" s="48" t="n">
        <v>264</v>
      </c>
      <c r="E81" s="48" t="n">
        <v>297</v>
      </c>
      <c r="F81" s="48" t="n">
        <v>289</v>
      </c>
      <c r="G81" s="48" t="n">
        <v>351</v>
      </c>
      <c r="H81" s="48" t="n">
        <v>277</v>
      </c>
      <c r="I81" s="48" t="n">
        <v>161</v>
      </c>
      <c r="J81" s="48" t="n">
        <v>259</v>
      </c>
      <c r="K81" s="48" t="n">
        <v>425</v>
      </c>
      <c r="L81" s="48" t="n">
        <v>835</v>
      </c>
      <c r="M81" s="55">
        <f>_xlfn.FORECAST.LINEAR(M$3,$C81:$L81,$C$3:$L$3)</f>
        <v/>
      </c>
      <c r="N81" s="55">
        <f>_xlfn.FORECAST.LINEAR(N$3,$C81:$L81,$C$3:$L$3)</f>
        <v/>
      </c>
      <c r="O81" s="55">
        <f>_xlfn.FORECAST.LINEAR(O$3,$C81:$L81,$C$3:$L$3)</f>
        <v/>
      </c>
      <c r="P81" s="55">
        <f>_xlfn.FORECAST.LINEAR(P$3,$C81:$L81,$C$3:$L$3)</f>
        <v/>
      </c>
      <c r="Q81" s="55">
        <f>_xlfn.FORECAST.LINEAR(Q$3,$C81:$L81,$C$3:$L$3)</f>
        <v/>
      </c>
    </row>
    <row r="82">
      <c r="B82" s="44" t="inlineStr">
        <is>
          <t>Dividends received</t>
        </is>
      </c>
      <c r="C82" s="48" t="n">
        <v>33</v>
      </c>
      <c r="D82" s="48" t="n">
        <v>14</v>
      </c>
      <c r="E82" s="48" t="n">
        <v>0</v>
      </c>
      <c r="F82" s="48" t="n">
        <v>1</v>
      </c>
      <c r="G82" s="48" t="n">
        <v>1</v>
      </c>
      <c r="H82" s="48" t="n">
        <v>1</v>
      </c>
      <c r="I82" s="48" t="n">
        <v>1</v>
      </c>
      <c r="J82" s="48" t="n">
        <v>2</v>
      </c>
      <c r="K82" s="48" t="n">
        <v>3</v>
      </c>
      <c r="L82" s="48" t="n">
        <v>0</v>
      </c>
      <c r="M82" s="55">
        <f>_xlfn.FORECAST.LINEAR(M$3,$C82:$L82,$C$3:$L$3)</f>
        <v/>
      </c>
      <c r="N82" s="55">
        <f>_xlfn.FORECAST.LINEAR(N$3,$C82:$L82,$C$3:$L$3)</f>
        <v/>
      </c>
      <c r="O82" s="55">
        <f>_xlfn.FORECAST.LINEAR(O$3,$C82:$L82,$C$3:$L$3)</f>
        <v/>
      </c>
      <c r="P82" s="55">
        <f>_xlfn.FORECAST.LINEAR(P$3,$C82:$L82,$C$3:$L$3)</f>
        <v/>
      </c>
      <c r="Q82" s="55">
        <f>_xlfn.FORECAST.LINEAR(Q$3,$C82:$L82,$C$3:$L$3)</f>
        <v/>
      </c>
    </row>
    <row r="83">
      <c r="B83" s="44" t="inlineStr">
        <is>
          <t>Invest in subsidiaries</t>
        </is>
      </c>
      <c r="C83" s="48" t="n">
        <v>0</v>
      </c>
      <c r="D83" s="48" t="n">
        <v>0</v>
      </c>
      <c r="E83" s="48" t="n">
        <v>0</v>
      </c>
      <c r="F83" s="48" t="n">
        <v>0</v>
      </c>
      <c r="G83" s="48" t="n">
        <v>0</v>
      </c>
      <c r="H83" s="48" t="n">
        <v>0</v>
      </c>
      <c r="I83" s="48" t="n">
        <v>0</v>
      </c>
      <c r="J83" s="48" t="n">
        <v>0</v>
      </c>
      <c r="K83" s="48" t="n">
        <v>0</v>
      </c>
      <c r="L83" s="48" t="n">
        <v>0</v>
      </c>
      <c r="M83" s="55">
        <f>_xlfn.FORECAST.LINEAR(M$3,$C83:$L83,$C$3:$L$3)</f>
        <v/>
      </c>
      <c r="N83" s="55">
        <f>_xlfn.FORECAST.LINEAR(N$3,$C83:$L83,$C$3:$L$3)</f>
        <v/>
      </c>
      <c r="O83" s="55">
        <f>_xlfn.FORECAST.LINEAR(O$3,$C83:$L83,$C$3:$L$3)</f>
        <v/>
      </c>
      <c r="P83" s="55">
        <f>_xlfn.FORECAST.LINEAR(P$3,$C83:$L83,$C$3:$L$3)</f>
        <v/>
      </c>
      <c r="Q83" s="55">
        <f>_xlfn.FORECAST.LINEAR(Q$3,$C83:$L83,$C$3:$L$3)</f>
        <v/>
      </c>
    </row>
    <row r="84">
      <c r="B84" s="44" t="inlineStr">
        <is>
          <t>Loans to subsidiaries</t>
        </is>
      </c>
      <c r="C84" s="48" t="n">
        <v>0</v>
      </c>
      <c r="D84" s="48" t="n">
        <v>0</v>
      </c>
      <c r="E84" s="48" t="n">
        <v>0</v>
      </c>
      <c r="F84" s="48" t="n">
        <v>0</v>
      </c>
      <c r="G84" s="48" t="n">
        <v>0</v>
      </c>
      <c r="H84" s="48" t="n">
        <v>0</v>
      </c>
      <c r="I84" s="48" t="n">
        <v>0</v>
      </c>
      <c r="J84" s="48" t="n">
        <v>0</v>
      </c>
      <c r="K84" s="48" t="n">
        <v>0</v>
      </c>
      <c r="L84" s="48" t="n">
        <v>0</v>
      </c>
      <c r="M84" s="55">
        <f>_xlfn.FORECAST.LINEAR(M$3,$C84:$L84,$C$3:$L$3)</f>
        <v/>
      </c>
      <c r="N84" s="55">
        <f>_xlfn.FORECAST.LINEAR(N$3,$C84:$L84,$C$3:$L$3)</f>
        <v/>
      </c>
      <c r="O84" s="55">
        <f>_xlfn.FORECAST.LINEAR(O$3,$C84:$L84,$C$3:$L$3)</f>
        <v/>
      </c>
      <c r="P84" s="55">
        <f>_xlfn.FORECAST.LINEAR(P$3,$C84:$L84,$C$3:$L$3)</f>
        <v/>
      </c>
      <c r="Q84" s="55">
        <f>_xlfn.FORECAST.LINEAR(Q$3,$C84:$L84,$C$3:$L$3)</f>
        <v/>
      </c>
    </row>
    <row r="85">
      <c r="B85" s="44" t="inlineStr">
        <is>
          <t>Redemp n Canc of Shares</t>
        </is>
      </c>
      <c r="C85" s="48" t="n">
        <v>161</v>
      </c>
      <c r="D85" s="48" t="n">
        <v>20</v>
      </c>
      <c r="E85" s="48" t="n">
        <v>73</v>
      </c>
      <c r="F85" s="48" t="n">
        <v>0</v>
      </c>
      <c r="G85" s="48" t="n">
        <v>0</v>
      </c>
      <c r="H85" s="48" t="n">
        <v>0</v>
      </c>
      <c r="I85" s="48" t="n">
        <v>0</v>
      </c>
      <c r="J85" s="48" t="n">
        <v>0</v>
      </c>
      <c r="K85" s="48" t="n">
        <v>0</v>
      </c>
      <c r="L85" s="48" t="n">
        <v>0</v>
      </c>
      <c r="M85" s="55">
        <f>_xlfn.FORECAST.LINEAR(M$3,$C85:$L85,$C$3:$L$3)</f>
        <v/>
      </c>
      <c r="N85" s="55">
        <f>_xlfn.FORECAST.LINEAR(N$3,$C85:$L85,$C$3:$L$3)</f>
        <v/>
      </c>
      <c r="O85" s="55">
        <f>_xlfn.FORECAST.LINEAR(O$3,$C85:$L85,$C$3:$L$3)</f>
        <v/>
      </c>
      <c r="P85" s="55">
        <f>_xlfn.FORECAST.LINEAR(P$3,$C85:$L85,$C$3:$L$3)</f>
        <v/>
      </c>
      <c r="Q85" s="55">
        <f>_xlfn.FORECAST.LINEAR(Q$3,$C85:$L85,$C$3:$L$3)</f>
        <v/>
      </c>
    </row>
    <row r="86">
      <c r="B86" s="44" t="inlineStr">
        <is>
          <t>Acquisition of companies</t>
        </is>
      </c>
      <c r="C86" s="48" t="n">
        <v>0</v>
      </c>
      <c r="D86" s="48" t="n">
        <v>0</v>
      </c>
      <c r="E86" s="48" t="n">
        <v>0</v>
      </c>
      <c r="F86" s="48" t="n">
        <v>0</v>
      </c>
      <c r="G86" s="48" t="n">
        <v>0</v>
      </c>
      <c r="H86" s="48" t="n">
        <v>0</v>
      </c>
      <c r="I86" s="48" t="n">
        <v>0</v>
      </c>
      <c r="J86" s="48" t="n">
        <v>-334</v>
      </c>
      <c r="K86" s="48" t="n">
        <v>0</v>
      </c>
      <c r="L86" s="48" t="n">
        <v>0</v>
      </c>
      <c r="M86" s="55">
        <f>_xlfn.FORECAST.LINEAR(M$3,$C86:$L86,$C$3:$L$3)</f>
        <v/>
      </c>
      <c r="N86" s="55">
        <f>_xlfn.FORECAST.LINEAR(N$3,$C86:$L86,$C$3:$L$3)</f>
        <v/>
      </c>
      <c r="O86" s="55">
        <f>_xlfn.FORECAST.LINEAR(O$3,$C86:$L86,$C$3:$L$3)</f>
        <v/>
      </c>
      <c r="P86" s="55">
        <f>_xlfn.FORECAST.LINEAR(P$3,$C86:$L86,$C$3:$L$3)</f>
        <v/>
      </c>
      <c r="Q86" s="55">
        <f>_xlfn.FORECAST.LINEAR(Q$3,$C86:$L86,$C$3:$L$3)</f>
        <v/>
      </c>
    </row>
    <row r="87" ht="15" customHeight="1" thickBot="1">
      <c r="B87" s="44" t="inlineStr">
        <is>
          <t>Other investing items</t>
        </is>
      </c>
      <c r="C87" s="48" t="n">
        <v>-351</v>
      </c>
      <c r="D87" s="48" t="n">
        <v>597</v>
      </c>
      <c r="E87" s="48" t="n">
        <v>-1612</v>
      </c>
      <c r="F87" s="48" t="n">
        <v>-300</v>
      </c>
      <c r="G87" s="48" t="n">
        <v>649</v>
      </c>
      <c r="H87" s="48" t="n">
        <v>3994</v>
      </c>
      <c r="I87" s="48" t="n">
        <v>-101</v>
      </c>
      <c r="J87" s="48" t="n">
        <v>-1213</v>
      </c>
      <c r="K87" s="48" t="n">
        <v>-2804</v>
      </c>
      <c r="L87" s="48" t="n">
        <v>5870</v>
      </c>
      <c r="M87" s="55">
        <f>_xlfn.FORECAST.LINEAR(M$3,$C87:$L87,$C$3:$L$3)</f>
        <v/>
      </c>
      <c r="N87" s="55">
        <f>_xlfn.FORECAST.LINEAR(N$3,$C87:$L87,$C$3:$L$3)</f>
        <v/>
      </c>
      <c r="O87" s="55">
        <f>_xlfn.FORECAST.LINEAR(O$3,$C87:$L87,$C$3:$L$3)</f>
        <v/>
      </c>
      <c r="P87" s="55">
        <f>_xlfn.FORECAST.LINEAR(P$3,$C87:$L87,$C$3:$L$3)</f>
        <v/>
      </c>
      <c r="Q87" s="55">
        <f>_xlfn.FORECAST.LINEAR(Q$3,$C87:$L87,$C$3:$L$3)</f>
        <v/>
      </c>
    </row>
    <row r="88" customFormat="1" s="2">
      <c r="B88" s="50" t="inlineStr">
        <is>
          <t>Cash flow from investing activities</t>
        </is>
      </c>
      <c r="C88" s="51">
        <f>SUM(C77:C87)</f>
        <v/>
      </c>
      <c r="D88" s="51">
        <f>SUM(D77:D87)</f>
        <v/>
      </c>
      <c r="E88" s="51">
        <f>SUM(E77:E87)</f>
        <v/>
      </c>
      <c r="F88" s="51">
        <f>SUM(F77:F87)</f>
        <v/>
      </c>
      <c r="G88" s="51">
        <f>SUM(G77:G87)</f>
        <v/>
      </c>
      <c r="H88" s="51">
        <f>SUM(H77:H87)</f>
        <v/>
      </c>
      <c r="I88" s="51">
        <f>SUM(I77:I87)</f>
        <v/>
      </c>
      <c r="J88" s="51">
        <f>SUM(J77:J87)</f>
        <v/>
      </c>
      <c r="K88" s="51">
        <f>SUM(K77:K87)</f>
        <v/>
      </c>
      <c r="L88" s="51">
        <f>SUM(L77:L87)</f>
        <v/>
      </c>
      <c r="M88" s="60">
        <f>_xlfn.FORECAST.LINEAR(M$3,$C88:$L88,$C$3:$L$3)</f>
        <v/>
      </c>
      <c r="N88" s="60">
        <f>_xlfn.FORECAST.LINEAR(N$3,$C88:$L88,$C$3:$L$3)</f>
        <v/>
      </c>
      <c r="O88" s="60">
        <f>_xlfn.FORECAST.LINEAR(O$3,$C88:$L88,$C$3:$L$3)</f>
        <v/>
      </c>
      <c r="P88" s="60">
        <f>_xlfn.FORECAST.LINEAR(P$3,$C88:$L88,$C$3:$L$3)</f>
        <v/>
      </c>
      <c r="Q88" s="60">
        <f>_xlfn.FORECAST.LINEAR(Q$3,$C88:$L88,$C$3:$L$3)</f>
        <v/>
      </c>
    </row>
    <row r="89">
      <c r="C89" s="49" t="n"/>
      <c r="D89" s="49" t="n"/>
      <c r="E89" s="49" t="n"/>
      <c r="F89" s="49" t="n"/>
      <c r="G89" s="49" t="n"/>
      <c r="H89" s="49" t="n"/>
      <c r="I89" s="49" t="n"/>
      <c r="J89" s="49" t="n"/>
      <c r="K89" s="49" t="n"/>
      <c r="L89" s="49" t="n"/>
      <c r="M89" s="54" t="n"/>
      <c r="N89" s="54" t="n"/>
      <c r="O89" s="54" t="n"/>
      <c r="P89" s="54" t="n"/>
      <c r="Q89" s="54" t="n"/>
    </row>
    <row r="90">
      <c r="B90" s="37" t="inlineStr">
        <is>
          <t>Cash flow from Financing activities</t>
        </is>
      </c>
      <c r="C90" s="49" t="n"/>
      <c r="D90" s="49" t="n"/>
      <c r="E90" s="49" t="n"/>
      <c r="F90" s="49" t="n"/>
      <c r="G90" s="49" t="n"/>
      <c r="H90" s="49" t="n"/>
      <c r="I90" s="49" t="n"/>
      <c r="J90" s="49" t="n"/>
      <c r="K90" s="49" t="n"/>
      <c r="L90" s="49" t="n"/>
      <c r="M90" s="54" t="n"/>
      <c r="N90" s="54" t="n"/>
      <c r="O90" s="54" t="n"/>
      <c r="P90" s="54" t="n"/>
      <c r="Q90" s="54" t="n"/>
    </row>
    <row r="91">
      <c r="B91" s="44" t="inlineStr">
        <is>
          <t>Proceeds from shares</t>
        </is>
      </c>
      <c r="C91" s="48" t="n">
        <v>0</v>
      </c>
      <c r="D91" s="48" t="n">
        <v>0</v>
      </c>
      <c r="E91" s="48" t="n">
        <v>0</v>
      </c>
      <c r="F91" s="48" t="n">
        <v>0</v>
      </c>
      <c r="G91" s="48" t="n">
        <v>0</v>
      </c>
      <c r="H91" s="48" t="n">
        <v>0</v>
      </c>
      <c r="I91" s="48" t="n">
        <v>0</v>
      </c>
      <c r="J91" s="48" t="n">
        <v>0</v>
      </c>
      <c r="K91" s="48" t="n">
        <v>0</v>
      </c>
      <c r="L91" s="48" t="n">
        <v>0</v>
      </c>
      <c r="M91" s="55">
        <f>_xlfn.FORECAST.LINEAR(M$3,$C91:$L91,$C$3:$L$3)</f>
        <v/>
      </c>
      <c r="N91" s="55">
        <f>_xlfn.FORECAST.LINEAR(N$3,$C91:$L91,$C$3:$L$3)</f>
        <v/>
      </c>
      <c r="O91" s="55">
        <f>_xlfn.FORECAST.LINEAR(O$3,$C91:$L91,$C$3:$L$3)</f>
        <v/>
      </c>
      <c r="P91" s="55">
        <f>_xlfn.FORECAST.LINEAR(P$3,$C91:$L91,$C$3:$L$3)</f>
        <v/>
      </c>
      <c r="Q91" s="55">
        <f>_xlfn.FORECAST.LINEAR(Q$3,$C91:$L91,$C$3:$L$3)</f>
        <v/>
      </c>
    </row>
    <row r="92">
      <c r="B92" s="44" t="inlineStr">
        <is>
          <t>Proceeds from borrowings</t>
        </is>
      </c>
      <c r="C92" s="48" t="n">
        <v>177</v>
      </c>
      <c r="D92" s="48" t="n">
        <v>460</v>
      </c>
      <c r="E92" s="48" t="n">
        <v>0</v>
      </c>
      <c r="F92" s="48" t="n">
        <v>99</v>
      </c>
      <c r="G92" s="48" t="n">
        <v>0</v>
      </c>
      <c r="H92" s="48" t="n">
        <v>188</v>
      </c>
      <c r="I92" s="48" t="n">
        <v>55</v>
      </c>
      <c r="J92" s="48" t="n">
        <v>286</v>
      </c>
      <c r="K92" s="48" t="n">
        <v>0</v>
      </c>
      <c r="L92" s="48" t="n">
        <v>0</v>
      </c>
      <c r="M92" s="55">
        <f>_xlfn.FORECAST.LINEAR(M$3,$C92:$L92,$C$3:$L$3)</f>
        <v/>
      </c>
      <c r="N92" s="55">
        <f>_xlfn.FORECAST.LINEAR(N$3,$C92:$L92,$C$3:$L$3)</f>
        <v/>
      </c>
      <c r="O92" s="55">
        <f>_xlfn.FORECAST.LINEAR(O$3,$C92:$L92,$C$3:$L$3)</f>
        <v/>
      </c>
      <c r="P92" s="55">
        <f>_xlfn.FORECAST.LINEAR(P$3,$C92:$L92,$C$3:$L$3)</f>
        <v/>
      </c>
      <c r="Q92" s="55">
        <f>_xlfn.FORECAST.LINEAR(Q$3,$C92:$L92,$C$3:$L$3)</f>
        <v/>
      </c>
    </row>
    <row r="93">
      <c r="B93" s="44" t="inlineStr">
        <is>
          <t>Repayment of borrowings</t>
        </is>
      </c>
      <c r="C93" s="48" t="n">
        <v>0</v>
      </c>
      <c r="D93" s="48" t="n">
        <v>-360</v>
      </c>
      <c r="E93" s="48" t="n">
        <v>-277</v>
      </c>
      <c r="F93" s="48" t="n">
        <v>0</v>
      </c>
      <c r="G93" s="48" t="n">
        <v>-99</v>
      </c>
      <c r="H93" s="48" t="n">
        <v>-188</v>
      </c>
      <c r="I93" s="48" t="n">
        <v>-55</v>
      </c>
      <c r="J93" s="48" t="n">
        <v>-208</v>
      </c>
      <c r="K93" s="48" t="n">
        <v>-85</v>
      </c>
      <c r="L93" s="48" t="n">
        <v>0</v>
      </c>
      <c r="M93" s="55">
        <f>_xlfn.FORECAST.LINEAR(M$3,$C93:$L93,$C$3:$L$3)</f>
        <v/>
      </c>
      <c r="N93" s="55">
        <f>_xlfn.FORECAST.LINEAR(N$3,$C93:$L93,$C$3:$L$3)</f>
        <v/>
      </c>
      <c r="O93" s="55">
        <f>_xlfn.FORECAST.LINEAR(O$3,$C93:$L93,$C$3:$L$3)</f>
        <v/>
      </c>
      <c r="P93" s="55">
        <f>_xlfn.FORECAST.LINEAR(P$3,$C93:$L93,$C$3:$L$3)</f>
        <v/>
      </c>
      <c r="Q93" s="55">
        <f>_xlfn.FORECAST.LINEAR(Q$3,$C93:$L93,$C$3:$L$3)</f>
        <v/>
      </c>
    </row>
    <row r="94">
      <c r="B94" s="44" t="inlineStr">
        <is>
          <t>Interest paid fin</t>
        </is>
      </c>
      <c r="C94" s="48" t="n">
        <v>-2</v>
      </c>
      <c r="D94" s="48" t="n">
        <v>-14</v>
      </c>
      <c r="E94" s="48" t="n">
        <v>-6</v>
      </c>
      <c r="F94" s="48" t="n">
        <v>-7</v>
      </c>
      <c r="G94" s="48" t="n">
        <v>-90</v>
      </c>
      <c r="H94" s="48" t="n">
        <v>-92</v>
      </c>
      <c r="I94" s="48" t="n">
        <v>-82</v>
      </c>
      <c r="J94" s="48" t="n">
        <v>-88</v>
      </c>
      <c r="K94" s="48" t="n">
        <v>-110</v>
      </c>
      <c r="L94" s="48" t="n">
        <v>-130</v>
      </c>
      <c r="M94" s="55">
        <f>_xlfn.FORECAST.LINEAR(M$3,$C94:$L94,$C$3:$L$3)</f>
        <v/>
      </c>
      <c r="N94" s="55">
        <f>_xlfn.FORECAST.LINEAR(N$3,$C94:$L94,$C$3:$L$3)</f>
        <v/>
      </c>
      <c r="O94" s="55">
        <f>_xlfn.FORECAST.LINEAR(O$3,$C94:$L94,$C$3:$L$3)</f>
        <v/>
      </c>
      <c r="P94" s="55">
        <f>_xlfn.FORECAST.LINEAR(P$3,$C94:$L94,$C$3:$L$3)</f>
        <v/>
      </c>
      <c r="Q94" s="55">
        <f>_xlfn.FORECAST.LINEAR(Q$3,$C94:$L94,$C$3:$L$3)</f>
        <v/>
      </c>
    </row>
    <row r="95">
      <c r="B95" s="44" t="inlineStr">
        <is>
          <t>Dividends paid</t>
        </is>
      </c>
      <c r="C95" s="48" t="n">
        <v>-3354</v>
      </c>
      <c r="D95" s="48" t="n">
        <v>-3572</v>
      </c>
      <c r="E95" s="48" t="n">
        <v>-3911</v>
      </c>
      <c r="F95" s="48" t="n">
        <v>-4554</v>
      </c>
      <c r="G95" s="48" t="n">
        <v>-5196</v>
      </c>
      <c r="H95" s="48" t="n">
        <v>-8811</v>
      </c>
      <c r="I95" s="48" t="n">
        <v>-7526</v>
      </c>
      <c r="J95" s="48" t="n">
        <v>-8474</v>
      </c>
      <c r="K95" s="48" t="n">
        <v>-9416</v>
      </c>
      <c r="L95" s="48" t="n">
        <v>-12473</v>
      </c>
      <c r="M95" s="55">
        <f>_xlfn.FORECAST.LINEAR(M$3,$C95:$L95,$C$3:$L$3)</f>
        <v/>
      </c>
      <c r="N95" s="55">
        <f>_xlfn.FORECAST.LINEAR(N$3,$C95:$L95,$C$3:$L$3)</f>
        <v/>
      </c>
      <c r="O95" s="55">
        <f>_xlfn.FORECAST.LINEAR(O$3,$C95:$L95,$C$3:$L$3)</f>
        <v/>
      </c>
      <c r="P95" s="55">
        <f>_xlfn.FORECAST.LINEAR(P$3,$C95:$L95,$C$3:$L$3)</f>
        <v/>
      </c>
      <c r="Q95" s="55">
        <f>_xlfn.FORECAST.LINEAR(Q$3,$C95:$L95,$C$3:$L$3)</f>
        <v/>
      </c>
    </row>
    <row r="96">
      <c r="B96" s="44" t="inlineStr">
        <is>
          <t>Financial liabilities</t>
        </is>
      </c>
      <c r="C96" s="48" t="n">
        <v>0</v>
      </c>
      <c r="D96" s="48" t="n">
        <v>0</v>
      </c>
      <c r="E96" s="48" t="n">
        <v>0</v>
      </c>
      <c r="F96" s="48" t="n">
        <v>0</v>
      </c>
      <c r="G96" s="48" t="n">
        <v>-373</v>
      </c>
      <c r="H96" s="48" t="n">
        <v>-406</v>
      </c>
      <c r="I96" s="48" t="n">
        <v>-407</v>
      </c>
      <c r="J96" s="48" t="n">
        <v>-467</v>
      </c>
      <c r="K96" s="48" t="n">
        <v>-423</v>
      </c>
      <c r="L96" s="48" t="n">
        <v>-498</v>
      </c>
      <c r="M96" s="55">
        <f>_xlfn.FORECAST.LINEAR(M$3,$C96:$L96,$C$3:$L$3)</f>
        <v/>
      </c>
      <c r="N96" s="55">
        <f>_xlfn.FORECAST.LINEAR(N$3,$C96:$L96,$C$3:$L$3)</f>
        <v/>
      </c>
      <c r="O96" s="55">
        <f>_xlfn.FORECAST.LINEAR(O$3,$C96:$L96,$C$3:$L$3)</f>
        <v/>
      </c>
      <c r="P96" s="55">
        <f>_xlfn.FORECAST.LINEAR(P$3,$C96:$L96,$C$3:$L$3)</f>
        <v/>
      </c>
      <c r="Q96" s="55">
        <f>_xlfn.FORECAST.LINEAR(Q$3,$C96:$L96,$C$3:$L$3)</f>
        <v/>
      </c>
    </row>
    <row r="97" ht="15" customHeight="1" thickBot="1">
      <c r="B97" s="44" t="inlineStr">
        <is>
          <t>Other financing items</t>
        </is>
      </c>
      <c r="C97" s="48" t="n">
        <v>-685</v>
      </c>
      <c r="D97" s="48" t="n">
        <v>-728</v>
      </c>
      <c r="E97" s="48" t="n">
        <v>-781</v>
      </c>
      <c r="F97" s="48" t="n">
        <v>-928</v>
      </c>
      <c r="G97" s="48" t="n">
        <v>-1061</v>
      </c>
      <c r="H97" s="48" t="n">
        <v>0</v>
      </c>
      <c r="I97" s="48" t="n">
        <v>0</v>
      </c>
      <c r="J97" s="48" t="n">
        <v>-2</v>
      </c>
      <c r="K97" s="48" t="n">
        <v>0</v>
      </c>
      <c r="L97" s="48" t="n">
        <v>0</v>
      </c>
      <c r="M97" s="55">
        <f>_xlfn.FORECAST.LINEAR(M$3,$C97:$L97,$C$3:$L$3)</f>
        <v/>
      </c>
      <c r="N97" s="55">
        <f>_xlfn.FORECAST.LINEAR(N$3,$C97:$L97,$C$3:$L$3)</f>
        <v/>
      </c>
      <c r="O97" s="55">
        <f>_xlfn.FORECAST.LINEAR(O$3,$C97:$L97,$C$3:$L$3)</f>
        <v/>
      </c>
      <c r="P97" s="55">
        <f>_xlfn.FORECAST.LINEAR(P$3,$C97:$L97,$C$3:$L$3)</f>
        <v/>
      </c>
      <c r="Q97" s="55">
        <f>_xlfn.FORECAST.LINEAR(Q$3,$C97:$L97,$C$3:$L$3)</f>
        <v/>
      </c>
    </row>
    <row r="98" customFormat="1" s="2">
      <c r="B98" s="50" t="inlineStr">
        <is>
          <t>Cash flow from Financing activities</t>
        </is>
      </c>
      <c r="C98" s="51">
        <f>SUM(C91:C97)</f>
        <v/>
      </c>
      <c r="D98" s="51">
        <f>SUM(D91:D97)</f>
        <v/>
      </c>
      <c r="E98" s="51">
        <f>SUM(E91:E97)</f>
        <v/>
      </c>
      <c r="F98" s="51">
        <f>SUM(F91:F97)</f>
        <v/>
      </c>
      <c r="G98" s="51">
        <f>SUM(G91:G97)</f>
        <v/>
      </c>
      <c r="H98" s="51">
        <f>SUM(H91:H97)</f>
        <v/>
      </c>
      <c r="I98" s="51">
        <f>SUM(I91:I97)</f>
        <v/>
      </c>
      <c r="J98" s="51">
        <f>SUM(J91:J97)</f>
        <v/>
      </c>
      <c r="K98" s="51">
        <f>SUM(K91:K97)</f>
        <v/>
      </c>
      <c r="L98" s="51">
        <f>SUM(L91:L97)</f>
        <v/>
      </c>
      <c r="M98" s="60">
        <f>_xlfn.FORECAST.LINEAR(M$3,$C98:$L98,$C$3:$L$3)</f>
        <v/>
      </c>
      <c r="N98" s="60">
        <f>_xlfn.FORECAST.LINEAR(N$3,$C98:$L98,$C$3:$L$3)</f>
        <v/>
      </c>
      <c r="O98" s="60">
        <f>_xlfn.FORECAST.LINEAR(O$3,$C98:$L98,$C$3:$L$3)</f>
        <v/>
      </c>
      <c r="P98" s="60">
        <f>_xlfn.FORECAST.LINEAR(P$3,$C98:$L98,$C$3:$L$3)</f>
        <v/>
      </c>
      <c r="Q98" s="60">
        <f>_xlfn.FORECAST.LINEAR(Q$3,$C98:$L98,$C$3:$L$3)</f>
        <v/>
      </c>
    </row>
    <row r="99" ht="15" customHeight="1" thickBot="1">
      <c r="M99" s="54" t="n"/>
      <c r="N99" s="54" t="n"/>
      <c r="O99" s="54" t="n"/>
      <c r="P99" s="54" t="n"/>
      <c r="Q99" s="54" t="n"/>
    </row>
    <row r="100" ht="15" customHeight="1" thickBot="1">
      <c r="B100" s="63" t="inlineStr">
        <is>
          <t>NET CASH FLOW</t>
        </is>
      </c>
      <c r="C100" s="64">
        <f>SUM(C98,C88,C74)</f>
        <v/>
      </c>
      <c r="D100" s="64">
        <f>SUM(D98,D88,D74)</f>
        <v/>
      </c>
      <c r="E100" s="64">
        <f>SUM(E98,E88,E74)</f>
        <v/>
      </c>
      <c r="F100" s="64">
        <f>SUM(F98,F88,F74)</f>
        <v/>
      </c>
      <c r="G100" s="64">
        <f>SUM(G98,G88,G74)</f>
        <v/>
      </c>
      <c r="H100" s="64">
        <f>SUM(H98,H88,H74)</f>
        <v/>
      </c>
      <c r="I100" s="64">
        <f>SUM(I98,I88,I74)</f>
        <v/>
      </c>
      <c r="J100" s="64">
        <f>SUM(J98,J88,J74)</f>
        <v/>
      </c>
      <c r="K100" s="64">
        <f>SUM(K98,K88,K74)</f>
        <v/>
      </c>
      <c r="L100" s="64">
        <f>SUM(L98,L88,L74)</f>
        <v/>
      </c>
      <c r="M100" s="65">
        <f>_xlfn.FORECAST.LINEAR(M$3,$C100:$L100,$C$3:$L$3)</f>
        <v/>
      </c>
      <c r="N100" s="65">
        <f>_xlfn.FORECAST.LINEAR(N$3,$C100:$L100,$C$3:$L$3)</f>
        <v/>
      </c>
      <c r="O100" s="65">
        <f>_xlfn.FORECAST.LINEAR(O$3,$C100:$L100,$C$3:$L$3)</f>
        <v/>
      </c>
      <c r="P100" s="65">
        <f>_xlfn.FORECAST.LINEAR(P$3,$C100:$L100,$C$3:$L$3)</f>
        <v/>
      </c>
      <c r="Q100" s="65">
        <f>_xlfn.FORECAST.LINEAR(Q$3,$C100:$L100,$C$3:$L$3)</f>
        <v/>
      </c>
    </row>
  </sheetData>
  <mergeCells count="1">
    <mergeCell ref="B2:Q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Q42"/>
  <sheetViews>
    <sheetView showGridLines="0" zoomScale="75" zoomScaleNormal="100" workbookViewId="0">
      <pane ySplit="3" topLeftCell="A9" activePane="bottomLeft" state="frozen"/>
      <selection pane="bottomLeft" activeCell="I48" sqref="I48"/>
    </sheetView>
  </sheetViews>
  <sheetFormatPr baseColWidth="8" defaultRowHeight="14.4"/>
  <cols>
    <col width="1.88671875" customWidth="1" min="1" max="1"/>
    <col width="21.33203125" bestFit="1" customWidth="1" min="2" max="2"/>
    <col width="15.21875" bestFit="1" customWidth="1" min="3" max="9"/>
    <col width="14.21875" bestFit="1" customWidth="1" min="10" max="10"/>
    <col width="15.21875" bestFit="1" customWidth="1" min="11" max="17"/>
  </cols>
  <sheetData>
    <row r="2">
      <c r="B2" s="105">
        <f>"Ratio Analysis for "&amp;Data!B1</f>
        <v/>
      </c>
    </row>
    <row r="3">
      <c r="B3" s="26" t="inlineStr">
        <is>
          <t>Year</t>
        </is>
      </c>
      <c r="C3" s="52">
        <f>Data!B16</f>
        <v/>
      </c>
      <c r="D3" s="52">
        <f>Data!C16</f>
        <v/>
      </c>
      <c r="E3" s="52">
        <f>Data!D16</f>
        <v/>
      </c>
      <c r="F3" s="52">
        <f>Data!E16</f>
        <v/>
      </c>
      <c r="G3" s="52">
        <f>Data!F16</f>
        <v/>
      </c>
      <c r="H3" s="52">
        <f>Data!G16</f>
        <v/>
      </c>
      <c r="I3" s="52">
        <f>Data!H16</f>
        <v/>
      </c>
      <c r="J3" s="52">
        <f>Data!I16</f>
        <v/>
      </c>
      <c r="K3" s="52">
        <f>Data!J16</f>
        <v/>
      </c>
      <c r="L3" s="52">
        <f>Data!K16</f>
        <v/>
      </c>
      <c r="M3" s="53">
        <f>Data!K16+365</f>
        <v/>
      </c>
      <c r="N3" s="53">
        <f>M3+365</f>
        <v/>
      </c>
      <c r="O3" s="53">
        <f>N3+365</f>
        <v/>
      </c>
      <c r="P3" s="53">
        <f>O3+365</f>
        <v/>
      </c>
      <c r="Q3" s="53">
        <f>P3+365</f>
        <v/>
      </c>
    </row>
    <row r="5">
      <c r="B5" s="2" t="inlineStr">
        <is>
          <t>Profitability ratio</t>
        </is>
      </c>
    </row>
    <row r="6">
      <c r="B6" s="57" t="inlineStr">
        <is>
          <t>Gross profit margins</t>
        </is>
      </c>
      <c r="C6" s="73">
        <f>'Historical data'!C13</f>
        <v/>
      </c>
      <c r="D6" s="73">
        <f>'Historical data'!D13</f>
        <v/>
      </c>
      <c r="E6" s="73">
        <f>'Historical data'!E13</f>
        <v/>
      </c>
      <c r="F6" s="73">
        <f>'Historical data'!F13</f>
        <v/>
      </c>
      <c r="G6" s="73">
        <f>'Historical data'!G13</f>
        <v/>
      </c>
      <c r="H6" s="73">
        <f>'Historical data'!H13</f>
        <v/>
      </c>
      <c r="I6" s="73">
        <f>'Historical data'!I13</f>
        <v/>
      </c>
      <c r="J6" s="73">
        <f>'Historical data'!J13</f>
        <v/>
      </c>
      <c r="K6" s="73">
        <f>'Historical data'!K13</f>
        <v/>
      </c>
      <c r="L6" s="73">
        <f>'Historical data'!L13</f>
        <v/>
      </c>
      <c r="M6" s="74">
        <f>'Historical data'!M13</f>
        <v/>
      </c>
      <c r="N6" s="74">
        <f>'Historical data'!N13</f>
        <v/>
      </c>
      <c r="O6" s="74">
        <f>'Historical data'!O13</f>
        <v/>
      </c>
      <c r="P6" s="74">
        <f>'Historical data'!P13</f>
        <v/>
      </c>
      <c r="Q6" s="74">
        <f>'Historical data'!Q13</f>
        <v/>
      </c>
    </row>
    <row r="7">
      <c r="B7" s="57" t="inlineStr">
        <is>
          <t>EBITDA margins</t>
        </is>
      </c>
      <c r="C7" s="73">
        <f>'Historical data'!C18</f>
        <v/>
      </c>
      <c r="D7" s="73">
        <f>'Historical data'!D18</f>
        <v/>
      </c>
      <c r="E7" s="73">
        <f>'Historical data'!E18</f>
        <v/>
      </c>
      <c r="F7" s="73">
        <f>'Historical data'!F18</f>
        <v/>
      </c>
      <c r="G7" s="73">
        <f>'Historical data'!G18</f>
        <v/>
      </c>
      <c r="H7" s="73">
        <f>'Historical data'!H18</f>
        <v/>
      </c>
      <c r="I7" s="73">
        <f>'Historical data'!I18</f>
        <v/>
      </c>
      <c r="J7" s="73">
        <f>'Historical data'!J18</f>
        <v/>
      </c>
      <c r="K7" s="73">
        <f>'Historical data'!K18</f>
        <v/>
      </c>
      <c r="L7" s="73">
        <f>'Historical data'!L18</f>
        <v/>
      </c>
      <c r="M7" s="74">
        <f>'Historical data'!M18</f>
        <v/>
      </c>
      <c r="N7" s="74">
        <f>'Historical data'!N18</f>
        <v/>
      </c>
      <c r="O7" s="74">
        <f>'Historical data'!O18</f>
        <v/>
      </c>
      <c r="P7" s="74">
        <f>'Historical data'!P18</f>
        <v/>
      </c>
      <c r="Q7" s="74">
        <f>'Historical data'!Q18</f>
        <v/>
      </c>
    </row>
    <row r="8">
      <c r="B8" s="57" t="inlineStr">
        <is>
          <t>EBIT Margins</t>
        </is>
      </c>
      <c r="C8" s="73">
        <f>'Historical data'!C23</f>
        <v/>
      </c>
      <c r="D8" s="73">
        <f>'Historical data'!D23</f>
        <v/>
      </c>
      <c r="E8" s="73">
        <f>'Historical data'!E23</f>
        <v/>
      </c>
      <c r="F8" s="73">
        <f>'Historical data'!F23</f>
        <v/>
      </c>
      <c r="G8" s="73">
        <f>'Historical data'!G23</f>
        <v/>
      </c>
      <c r="H8" s="73">
        <f>'Historical data'!H23</f>
        <v/>
      </c>
      <c r="I8" s="73">
        <f>'Historical data'!I23</f>
        <v/>
      </c>
      <c r="J8" s="73">
        <f>'Historical data'!J23</f>
        <v/>
      </c>
      <c r="K8" s="73">
        <f>'Historical data'!K23</f>
        <v/>
      </c>
      <c r="L8" s="73">
        <f>'Historical data'!L23</f>
        <v/>
      </c>
      <c r="M8" s="74">
        <f>'Historical data'!M23</f>
        <v/>
      </c>
      <c r="N8" s="74">
        <f>'Historical data'!N23</f>
        <v/>
      </c>
      <c r="O8" s="74">
        <f>'Historical data'!O23</f>
        <v/>
      </c>
      <c r="P8" s="74">
        <f>'Historical data'!P23</f>
        <v/>
      </c>
      <c r="Q8" s="74">
        <f>'Historical data'!Q23</f>
        <v/>
      </c>
    </row>
    <row r="9">
      <c r="B9" s="57" t="inlineStr">
        <is>
          <t>Net profit margins</t>
        </is>
      </c>
      <c r="C9" s="73">
        <f>'Historical data'!C33</f>
        <v/>
      </c>
      <c r="D9" s="73">
        <f>'Historical data'!D33</f>
        <v/>
      </c>
      <c r="E9" s="73">
        <f>'Historical data'!E33</f>
        <v/>
      </c>
      <c r="F9" s="73">
        <f>'Historical data'!F33</f>
        <v/>
      </c>
      <c r="G9" s="73">
        <f>'Historical data'!G33</f>
        <v/>
      </c>
      <c r="H9" s="73">
        <f>'Historical data'!H33</f>
        <v/>
      </c>
      <c r="I9" s="73">
        <f>'Historical data'!I33</f>
        <v/>
      </c>
      <c r="J9" s="73">
        <f>'Historical data'!J33</f>
        <v/>
      </c>
      <c r="K9" s="73">
        <f>'Historical data'!K33</f>
        <v/>
      </c>
      <c r="L9" s="73">
        <f>'Historical data'!L33</f>
        <v/>
      </c>
      <c r="M9" s="74">
        <f>'Historical data'!M33</f>
        <v/>
      </c>
      <c r="N9" s="74">
        <f>'Historical data'!N33</f>
        <v/>
      </c>
      <c r="O9" s="74">
        <f>'Historical data'!O33</f>
        <v/>
      </c>
      <c r="P9" s="74">
        <f>'Historical data'!P33</f>
        <v/>
      </c>
      <c r="Q9" s="74">
        <f>'Historical data'!Q33</f>
        <v/>
      </c>
    </row>
    <row r="10">
      <c r="B10" s="57" t="inlineStr">
        <is>
          <t>return on assets</t>
        </is>
      </c>
      <c r="C10" s="73">
        <f>'Historical data'!C32/'Historical data'!C58</f>
        <v/>
      </c>
      <c r="D10" s="73">
        <f>'Historical data'!D32/'Historical data'!D58</f>
        <v/>
      </c>
      <c r="E10" s="73">
        <f>'Historical data'!E32/'Historical data'!E58</f>
        <v/>
      </c>
      <c r="F10" s="73">
        <f>'Historical data'!F32/'Historical data'!F58</f>
        <v/>
      </c>
      <c r="G10" s="73">
        <f>'Historical data'!G32/'Historical data'!G58</f>
        <v/>
      </c>
      <c r="H10" s="73">
        <f>'Historical data'!H32/'Historical data'!H58</f>
        <v/>
      </c>
      <c r="I10" s="73">
        <f>'Historical data'!I32/'Historical data'!I58</f>
        <v/>
      </c>
      <c r="J10" s="73">
        <f>'Historical data'!J32/'Historical data'!J58</f>
        <v/>
      </c>
      <c r="K10" s="73">
        <f>'Historical data'!K32/'Historical data'!K58</f>
        <v/>
      </c>
      <c r="L10" s="73">
        <f>'Historical data'!L32/'Historical data'!L58</f>
        <v/>
      </c>
      <c r="M10" s="74">
        <f>'Historical data'!M32/'Historical data'!M58</f>
        <v/>
      </c>
      <c r="N10" s="74">
        <f>'Historical data'!N32/'Historical data'!N58</f>
        <v/>
      </c>
      <c r="O10" s="74">
        <f>'Historical data'!O32/'Historical data'!O58</f>
        <v/>
      </c>
      <c r="P10" s="74">
        <f>'Historical data'!P32/'Historical data'!P58</f>
        <v/>
      </c>
      <c r="Q10" s="74">
        <f>'Historical data'!Q32/'Historical data'!Q58</f>
        <v/>
      </c>
    </row>
    <row r="11">
      <c r="B11" s="57" t="inlineStr">
        <is>
          <t>return on equity</t>
        </is>
      </c>
      <c r="C11" s="73">
        <f>'Historical data'!C32/SUM('Historical data'!C36:C37)</f>
        <v/>
      </c>
      <c r="D11" s="73">
        <f>'Historical data'!D32/SUM('Historical data'!D36:D37)</f>
        <v/>
      </c>
      <c r="E11" s="73">
        <f>'Historical data'!E32/SUM('Historical data'!E36:E37)</f>
        <v/>
      </c>
      <c r="F11" s="73">
        <f>'Historical data'!F32/SUM('Historical data'!F36:F37)</f>
        <v/>
      </c>
      <c r="G11" s="73">
        <f>'Historical data'!G32/SUM('Historical data'!G36:G37)</f>
        <v/>
      </c>
      <c r="H11" s="73">
        <f>'Historical data'!H32/SUM('Historical data'!H36:H37)</f>
        <v/>
      </c>
      <c r="I11" s="73">
        <f>'Historical data'!I32/SUM('Historical data'!I36:I37)</f>
        <v/>
      </c>
      <c r="J11" s="73">
        <f>'Historical data'!J32/SUM('Historical data'!J36:J37)</f>
        <v/>
      </c>
      <c r="K11" s="73">
        <f>'Historical data'!K32/SUM('Historical data'!K36:K37)</f>
        <v/>
      </c>
      <c r="L11" s="73">
        <f>'Historical data'!L32/SUM('Historical data'!L36:L37)</f>
        <v/>
      </c>
      <c r="M11" s="74">
        <f>'Historical data'!M32/SUM('Historical data'!M36:M37)</f>
        <v/>
      </c>
      <c r="N11" s="74">
        <f>'Historical data'!N32/SUM('Historical data'!N36:N37)</f>
        <v/>
      </c>
      <c r="O11" s="74">
        <f>'Historical data'!O32/SUM('Historical data'!O36:O37)</f>
        <v/>
      </c>
      <c r="P11" s="74">
        <f>'Historical data'!P32/SUM('Historical data'!P36:P37)</f>
        <v/>
      </c>
      <c r="Q11" s="74">
        <f>'Historical data'!Q32/SUM('Historical data'!Q36:Q37)</f>
        <v/>
      </c>
    </row>
    <row r="12">
      <c r="B12" s="57" t="n"/>
      <c r="C12" s="73" t="n"/>
      <c r="D12" s="73" t="n"/>
      <c r="E12" s="73" t="n"/>
      <c r="F12" s="73" t="n"/>
      <c r="G12" s="73" t="n"/>
      <c r="H12" s="73" t="n"/>
      <c r="I12" s="73" t="n"/>
      <c r="J12" s="73" t="n"/>
      <c r="K12" s="73" t="n"/>
      <c r="L12" s="73" t="n"/>
      <c r="M12" s="73" t="n"/>
      <c r="N12" s="73" t="n"/>
      <c r="O12" s="73" t="n"/>
      <c r="P12" s="73" t="n"/>
      <c r="Q12" s="73" t="n"/>
    </row>
    <row r="13">
      <c r="B13" s="58" t="inlineStr">
        <is>
          <t>Solvency Ratio</t>
        </is>
      </c>
      <c r="C13" s="73" t="n"/>
      <c r="D13" s="73" t="n"/>
      <c r="E13" s="73" t="n"/>
      <c r="F13" s="73" t="n"/>
      <c r="G13" s="73" t="n"/>
      <c r="H13" s="73" t="n"/>
      <c r="I13" s="73" t="n"/>
      <c r="J13" s="73" t="n"/>
      <c r="K13" s="73" t="n"/>
      <c r="L13" s="73" t="n"/>
      <c r="M13" s="73" t="n"/>
      <c r="N13" s="73" t="n"/>
      <c r="O13" s="73" t="n"/>
      <c r="P13" s="73" t="n"/>
      <c r="Q13" s="73" t="n"/>
    </row>
    <row r="14">
      <c r="B14" s="57" t="inlineStr">
        <is>
          <t>Debt by equity</t>
        </is>
      </c>
      <c r="C14" s="73">
        <f>'Historical data'!C38/SUM('Historical data'!C36:C37)</f>
        <v/>
      </c>
      <c r="D14" s="73">
        <f>'Historical data'!D38/SUM('Historical data'!D36:D37)</f>
        <v/>
      </c>
      <c r="E14" s="73">
        <f>'Historical data'!E38/SUM('Historical data'!E36:E37)</f>
        <v/>
      </c>
      <c r="F14" s="73">
        <f>'Historical data'!F38/SUM('Historical data'!F36:F37)</f>
        <v/>
      </c>
      <c r="G14" s="73">
        <f>'Historical data'!G38/SUM('Historical data'!G36:G37)</f>
        <v/>
      </c>
      <c r="H14" s="73">
        <f>'Historical data'!H38/SUM('Historical data'!H36:H37)</f>
        <v/>
      </c>
      <c r="I14" s="73">
        <f>'Historical data'!I38/SUM('Historical data'!I36:I37)</f>
        <v/>
      </c>
      <c r="J14" s="73">
        <f>'Historical data'!J38/SUM('Historical data'!J36:J37)</f>
        <v/>
      </c>
      <c r="K14" s="73">
        <f>'Historical data'!K38/SUM('Historical data'!K36:K37)</f>
        <v/>
      </c>
      <c r="L14" s="73">
        <f>'Historical data'!L38/SUM('Historical data'!L36:L37)</f>
        <v/>
      </c>
      <c r="M14" s="74">
        <f>'Historical data'!M38/SUM('Historical data'!M36:M37)</f>
        <v/>
      </c>
      <c r="N14" s="74">
        <f>'Historical data'!N38/SUM('Historical data'!N36:N37)</f>
        <v/>
      </c>
      <c r="O14" s="74">
        <f>'Historical data'!O38/SUM('Historical data'!O36:O37)</f>
        <v/>
      </c>
      <c r="P14" s="74">
        <f>'Historical data'!P38/SUM('Historical data'!P36:P37)</f>
        <v/>
      </c>
      <c r="Q14" s="74">
        <f>'Historical data'!Q38/SUM('Historical data'!Q36:Q37)</f>
        <v/>
      </c>
    </row>
    <row r="15">
      <c r="B15" s="57" t="inlineStr">
        <is>
          <t>debt ratio</t>
        </is>
      </c>
      <c r="C15" s="73">
        <f>'Historical data'!C38/'Historical data'!C58</f>
        <v/>
      </c>
      <c r="D15" s="73">
        <f>'Historical data'!D38/'Historical data'!D58</f>
        <v/>
      </c>
      <c r="E15" s="73">
        <f>'Historical data'!E38/'Historical data'!E58</f>
        <v/>
      </c>
      <c r="F15" s="73">
        <f>'Historical data'!F38/'Historical data'!F58</f>
        <v/>
      </c>
      <c r="G15" s="73">
        <f>'Historical data'!G38/'Historical data'!G58</f>
        <v/>
      </c>
      <c r="H15" s="73">
        <f>'Historical data'!H38/'Historical data'!H58</f>
        <v/>
      </c>
      <c r="I15" s="73">
        <f>'Historical data'!I38/'Historical data'!I58</f>
        <v/>
      </c>
      <c r="J15" s="73">
        <f>'Historical data'!J38/'Historical data'!J58</f>
        <v/>
      </c>
      <c r="K15" s="73">
        <f>'Historical data'!K38/'Historical data'!K58</f>
        <v/>
      </c>
      <c r="L15" s="73">
        <f>'Historical data'!L38/'Historical data'!L58</f>
        <v/>
      </c>
      <c r="M15" s="74">
        <f>'Historical data'!M38/'Historical data'!M58</f>
        <v/>
      </c>
      <c r="N15" s="74">
        <f>'Historical data'!N38/'Historical data'!N58</f>
        <v/>
      </c>
      <c r="O15" s="74">
        <f>'Historical data'!O38/'Historical data'!O58</f>
        <v/>
      </c>
      <c r="P15" s="74">
        <f>'Historical data'!P38/'Historical data'!P58</f>
        <v/>
      </c>
      <c r="Q15" s="74">
        <f>'Historical data'!Q38/'Historical data'!Q58</f>
        <v/>
      </c>
    </row>
    <row r="16">
      <c r="B16" s="57" t="inlineStr">
        <is>
          <t>Interest coverage ratio</t>
        </is>
      </c>
      <c r="C16" s="73">
        <f>'Historical data'!C22/'Historical data'!C25</f>
        <v/>
      </c>
      <c r="D16" s="73">
        <f>'Historical data'!D22/'Historical data'!D25</f>
        <v/>
      </c>
      <c r="E16" s="73">
        <f>'Historical data'!E22/'Historical data'!E25</f>
        <v/>
      </c>
      <c r="F16" s="73">
        <f>'Historical data'!F22/'Historical data'!F25</f>
        <v/>
      </c>
      <c r="G16" s="73">
        <f>'Historical data'!G22/'Historical data'!G25</f>
        <v/>
      </c>
      <c r="H16" s="73">
        <f>'Historical data'!H22/'Historical data'!H25</f>
        <v/>
      </c>
      <c r="I16" s="73">
        <f>'Historical data'!I22/'Historical data'!I25</f>
        <v/>
      </c>
      <c r="J16" s="73">
        <f>'Historical data'!J22/'Historical data'!J25</f>
        <v/>
      </c>
      <c r="K16" s="73">
        <f>'Historical data'!K22/'Historical data'!K25</f>
        <v/>
      </c>
      <c r="L16" s="73">
        <f>'Historical data'!L22/'Historical data'!L25</f>
        <v/>
      </c>
      <c r="M16" s="74">
        <f>'Historical data'!M22/'Historical data'!M25</f>
        <v/>
      </c>
      <c r="N16" s="74">
        <f>'Historical data'!N22/'Historical data'!N25</f>
        <v/>
      </c>
      <c r="O16" s="74">
        <f>'Historical data'!O22/'Historical data'!O25</f>
        <v/>
      </c>
      <c r="P16" s="74">
        <f>'Historical data'!P22/'Historical data'!P25</f>
        <v/>
      </c>
      <c r="Q16" s="74">
        <f>'Historical data'!Q22/'Historical data'!Q25</f>
        <v/>
      </c>
    </row>
    <row r="17">
      <c r="B17" s="57" t="n"/>
      <c r="C17" s="73" t="n"/>
      <c r="D17" s="73" t="n"/>
      <c r="E17" s="73" t="n"/>
      <c r="F17" s="73" t="n"/>
      <c r="G17" s="73" t="n"/>
      <c r="H17" s="73" t="n"/>
      <c r="I17" s="73" t="n"/>
      <c r="J17" s="73" t="n"/>
      <c r="K17" s="73" t="n"/>
      <c r="L17" s="73" t="n"/>
      <c r="M17" s="73" t="n"/>
      <c r="N17" s="73" t="n"/>
      <c r="O17" s="73" t="n"/>
      <c r="P17" s="73" t="n"/>
      <c r="Q17" s="73" t="n"/>
    </row>
    <row r="18">
      <c r="B18" s="58" t="inlineStr">
        <is>
          <t>Efficiency Ratio</t>
        </is>
      </c>
      <c r="C18" s="73" t="n"/>
      <c r="D18" s="73" t="n"/>
      <c r="E18" s="73" t="n"/>
      <c r="F18" s="73" t="n"/>
      <c r="G18" s="73" t="n"/>
      <c r="H18" s="73" t="n"/>
      <c r="I18" s="73" t="n"/>
      <c r="J18" s="73" t="n"/>
      <c r="K18" s="73" t="n"/>
      <c r="L18" s="73" t="n"/>
      <c r="M18" s="73" t="n"/>
      <c r="N18" s="73" t="n"/>
      <c r="O18" s="73" t="n"/>
      <c r="P18" s="73" t="n"/>
      <c r="Q18" s="73" t="n"/>
    </row>
    <row r="19">
      <c r="B19" s="57" t="inlineStr">
        <is>
          <t>Asset turnover ratio</t>
        </is>
      </c>
      <c r="C19" s="73">
        <f>'Historical data'!C7/'Historical data'!C58</f>
        <v/>
      </c>
      <c r="D19" s="73">
        <f>'Historical data'!D7/'Historical data'!D58</f>
        <v/>
      </c>
      <c r="E19" s="73">
        <f>'Historical data'!E7/'Historical data'!E58</f>
        <v/>
      </c>
      <c r="F19" s="73">
        <f>'Historical data'!F7/'Historical data'!F58</f>
        <v/>
      </c>
      <c r="G19" s="73">
        <f>'Historical data'!G7/'Historical data'!G58</f>
        <v/>
      </c>
      <c r="H19" s="73">
        <f>'Historical data'!H7/'Historical data'!H58</f>
        <v/>
      </c>
      <c r="I19" s="73">
        <f>'Historical data'!I7/'Historical data'!I58</f>
        <v/>
      </c>
      <c r="J19" s="73">
        <f>'Historical data'!J7/'Historical data'!J58</f>
        <v/>
      </c>
      <c r="K19" s="73">
        <f>'Historical data'!K7/'Historical data'!K58</f>
        <v/>
      </c>
      <c r="L19" s="73">
        <f>'Historical data'!L7/'Historical data'!L58</f>
        <v/>
      </c>
      <c r="M19" s="74">
        <f>'Historical data'!M7/'Historical data'!M58</f>
        <v/>
      </c>
      <c r="N19" s="74">
        <f>'Historical data'!N7/'Historical data'!N58</f>
        <v/>
      </c>
      <c r="O19" s="74">
        <f>'Historical data'!O7/'Historical data'!O58</f>
        <v/>
      </c>
      <c r="P19" s="74">
        <f>'Historical data'!P7/'Historical data'!P58</f>
        <v/>
      </c>
      <c r="Q19" s="74">
        <f>'Historical data'!Q7/'Historical data'!Q58</f>
        <v/>
      </c>
    </row>
    <row r="20">
      <c r="B20" s="57" t="inlineStr">
        <is>
          <t>inventory turnover ratio</t>
        </is>
      </c>
      <c r="C20" s="73">
        <f>'Historical data'!C10/'Historical data'!C54</f>
        <v/>
      </c>
      <c r="D20" s="73">
        <f>'Historical data'!D10/'Historical data'!D54</f>
        <v/>
      </c>
      <c r="E20" s="73">
        <f>'Historical data'!E10/'Historical data'!E54</f>
        <v/>
      </c>
      <c r="F20" s="73">
        <f>'Historical data'!F10/'Historical data'!F54</f>
        <v/>
      </c>
      <c r="G20" s="73">
        <f>'Historical data'!G10/'Historical data'!G54</f>
        <v/>
      </c>
      <c r="H20" s="73">
        <f>'Historical data'!H10/'Historical data'!H54</f>
        <v/>
      </c>
      <c r="I20" s="73">
        <f>'Historical data'!I10/'Historical data'!I54</f>
        <v/>
      </c>
      <c r="J20" s="73">
        <f>'Historical data'!J10/'Historical data'!J54</f>
        <v/>
      </c>
      <c r="K20" s="73">
        <f>'Historical data'!K10/'Historical data'!K54</f>
        <v/>
      </c>
      <c r="L20" s="73">
        <f>'Historical data'!L10/'Historical data'!L54</f>
        <v/>
      </c>
      <c r="M20" s="74">
        <f>'Historical data'!M10/'Historical data'!M54</f>
        <v/>
      </c>
      <c r="N20" s="74">
        <f>'Historical data'!N10/'Historical data'!N54</f>
        <v/>
      </c>
      <c r="O20" s="74">
        <f>'Historical data'!O10/'Historical data'!O54</f>
        <v/>
      </c>
      <c r="P20" s="74">
        <f>'Historical data'!P10/'Historical data'!P54</f>
        <v/>
      </c>
      <c r="Q20" s="74">
        <f>'Historical data'!Q10/'Historical data'!Q54</f>
        <v/>
      </c>
    </row>
    <row r="21" ht="28.8" customHeight="1">
      <c r="B21" s="57" t="inlineStr">
        <is>
          <t>Receivable turnover ratio</t>
        </is>
      </c>
      <c r="C21" s="73">
        <f>'Historical data'!C7/'Historical data'!C53</f>
        <v/>
      </c>
      <c r="D21" s="73">
        <f>'Historical data'!D7/'Historical data'!D53</f>
        <v/>
      </c>
      <c r="E21" s="73">
        <f>'Historical data'!E7/'Historical data'!E53</f>
        <v/>
      </c>
      <c r="F21" s="73">
        <f>'Historical data'!F7/'Historical data'!F53</f>
        <v/>
      </c>
      <c r="G21" s="73">
        <f>'Historical data'!G7/'Historical data'!G53</f>
        <v/>
      </c>
      <c r="H21" s="73">
        <f>'Historical data'!H7/'Historical data'!H53</f>
        <v/>
      </c>
      <c r="I21" s="73">
        <f>'Historical data'!I7/'Historical data'!I53</f>
        <v/>
      </c>
      <c r="J21" s="73">
        <f>'Historical data'!J7/'Historical data'!J53</f>
        <v/>
      </c>
      <c r="K21" s="73">
        <f>'Historical data'!K7/'Historical data'!K53</f>
        <v/>
      </c>
      <c r="L21" s="73">
        <f>'Historical data'!L7/'Historical data'!L53</f>
        <v/>
      </c>
      <c r="M21" s="74">
        <f>'Historical data'!M7/'Historical data'!M53</f>
        <v/>
      </c>
      <c r="N21" s="74">
        <f>'Historical data'!N7/'Historical data'!N53</f>
        <v/>
      </c>
      <c r="O21" s="74">
        <f>'Historical data'!O7/'Historical data'!O53</f>
        <v/>
      </c>
      <c r="P21" s="74">
        <f>'Historical data'!P7/'Historical data'!P53</f>
        <v/>
      </c>
      <c r="Q21" s="74">
        <f>'Historical data'!Q7/'Historical data'!Q53</f>
        <v/>
      </c>
    </row>
    <row r="22">
      <c r="B22" s="57" t="inlineStr">
        <is>
          <t>payable turnover ratio</t>
        </is>
      </c>
      <c r="C22" s="73">
        <f>'Historical data'!C10/'Historical data'!C41</f>
        <v/>
      </c>
      <c r="D22" s="73">
        <f>'Historical data'!D10/'Historical data'!D41</f>
        <v/>
      </c>
      <c r="E22" s="73">
        <f>'Historical data'!E10/'Historical data'!E41</f>
        <v/>
      </c>
      <c r="F22" s="73">
        <f>'Historical data'!F10/'Historical data'!F41</f>
        <v/>
      </c>
      <c r="G22" s="73">
        <f>'Historical data'!G10/'Historical data'!G41</f>
        <v/>
      </c>
      <c r="H22" s="73">
        <f>'Historical data'!H10/'Historical data'!H41</f>
        <v/>
      </c>
      <c r="I22" s="73">
        <f>'Historical data'!I10/'Historical data'!I41</f>
        <v/>
      </c>
      <c r="J22" s="73">
        <f>'Historical data'!J10/'Historical data'!J41</f>
        <v/>
      </c>
      <c r="K22" s="73">
        <f>'Historical data'!K10/'Historical data'!K41</f>
        <v/>
      </c>
      <c r="L22" s="73">
        <f>'Historical data'!L10/'Historical data'!L41</f>
        <v/>
      </c>
      <c r="M22" s="74">
        <f>'Historical data'!M10/'Historical data'!M41</f>
        <v/>
      </c>
      <c r="N22" s="74">
        <f>'Historical data'!N10/'Historical data'!N41</f>
        <v/>
      </c>
      <c r="O22" s="74">
        <f>'Historical data'!O10/'Historical data'!O41</f>
        <v/>
      </c>
      <c r="P22" s="74">
        <f>'Historical data'!P10/'Historical data'!P41</f>
        <v/>
      </c>
      <c r="Q22" s="74">
        <f>'Historical data'!Q10/'Historical data'!Q41</f>
        <v/>
      </c>
    </row>
    <row r="23" ht="28.8" customHeight="1">
      <c r="B23" s="57" t="inlineStr">
        <is>
          <t>Fixed asset turnover ratio</t>
        </is>
      </c>
      <c r="C23" s="73">
        <f>'Historical data'!C7/'Historical data'!C48</f>
        <v/>
      </c>
      <c r="D23" s="73">
        <f>'Historical data'!D7/'Historical data'!D48</f>
        <v/>
      </c>
      <c r="E23" s="73">
        <f>'Historical data'!E7/'Historical data'!E48</f>
        <v/>
      </c>
      <c r="F23" s="73">
        <f>'Historical data'!F7/'Historical data'!F48</f>
        <v/>
      </c>
      <c r="G23" s="73">
        <f>'Historical data'!G7/'Historical data'!G48</f>
        <v/>
      </c>
      <c r="H23" s="73">
        <f>'Historical data'!H7/'Historical data'!H48</f>
        <v/>
      </c>
      <c r="I23" s="73">
        <f>'Historical data'!I7/'Historical data'!I48</f>
        <v/>
      </c>
      <c r="J23" s="73">
        <f>'Historical data'!J7/'Historical data'!J48</f>
        <v/>
      </c>
      <c r="K23" s="73">
        <f>'Historical data'!K7/'Historical data'!K48</f>
        <v/>
      </c>
      <c r="L23" s="73">
        <f>'Historical data'!L7/'Historical data'!L48</f>
        <v/>
      </c>
      <c r="M23" s="74">
        <f>'Historical data'!M7/'Historical data'!M48</f>
        <v/>
      </c>
      <c r="N23" s="74">
        <f>'Historical data'!N7/'Historical data'!N48</f>
        <v/>
      </c>
      <c r="O23" s="74">
        <f>'Historical data'!O7/'Historical data'!O48</f>
        <v/>
      </c>
      <c r="P23" s="74">
        <f>'Historical data'!P7/'Historical data'!P48</f>
        <v/>
      </c>
      <c r="Q23" s="74">
        <f>'Historical data'!Q7/'Historical data'!Q48</f>
        <v/>
      </c>
    </row>
    <row r="24">
      <c r="B24" s="57" t="inlineStr">
        <is>
          <t>capital turnover</t>
        </is>
      </c>
      <c r="C24" s="73">
        <f>'Historical data'!C10/SUM('Historical data'!C46,'Historical data'!C58)</f>
        <v/>
      </c>
      <c r="D24" s="73">
        <f>'Historical data'!D10/SUM('Historical data'!D46,'Historical data'!D58)</f>
        <v/>
      </c>
      <c r="E24" s="73">
        <f>'Historical data'!E10/SUM('Historical data'!E46,'Historical data'!E58)</f>
        <v/>
      </c>
      <c r="F24" s="73">
        <f>'Historical data'!F10/SUM('Historical data'!F46,'Historical data'!F58)</f>
        <v/>
      </c>
      <c r="G24" s="73">
        <f>'Historical data'!G10/SUM('Historical data'!G46,'Historical data'!G58)</f>
        <v/>
      </c>
      <c r="H24" s="73">
        <f>'Historical data'!H10/SUM('Historical data'!H46,'Historical data'!H58)</f>
        <v/>
      </c>
      <c r="I24" s="73">
        <f>'Historical data'!I10/SUM('Historical data'!I46,'Historical data'!I58)</f>
        <v/>
      </c>
      <c r="J24" s="73">
        <f>'Historical data'!J10/SUM('Historical data'!J46,'Historical data'!J58)</f>
        <v/>
      </c>
      <c r="K24" s="73">
        <f>'Historical data'!K10/SUM('Historical data'!K46,'Historical data'!K58)</f>
        <v/>
      </c>
      <c r="L24" s="73">
        <f>'Historical data'!L10/SUM('Historical data'!L46,'Historical data'!L58)</f>
        <v/>
      </c>
      <c r="M24" s="74">
        <f>'Historical data'!M10/SUM('Historical data'!M46,'Historical data'!M58)</f>
        <v/>
      </c>
      <c r="N24" s="74">
        <f>'Historical data'!N10/SUM('Historical data'!N46,'Historical data'!N58)</f>
        <v/>
      </c>
      <c r="O24" s="74">
        <f>'Historical data'!O10/SUM('Historical data'!O46,'Historical data'!O58)</f>
        <v/>
      </c>
      <c r="P24" s="74">
        <f>'Historical data'!P10/SUM('Historical data'!P46,'Historical data'!P58)</f>
        <v/>
      </c>
      <c r="Q24" s="74">
        <f>'Historical data'!Q10/SUM('Historical data'!Q46,'Historical data'!Q58)</f>
        <v/>
      </c>
    </row>
    <row r="25">
      <c r="B25" s="57" t="n"/>
      <c r="C25" s="73" t="n"/>
      <c r="D25" s="73" t="n"/>
      <c r="E25" s="73" t="n"/>
      <c r="F25" s="73" t="n"/>
      <c r="G25" s="73" t="n"/>
      <c r="H25" s="73" t="n"/>
      <c r="I25" s="73" t="n"/>
      <c r="J25" s="73" t="n"/>
      <c r="K25" s="73" t="n"/>
      <c r="L25" s="73" t="n"/>
      <c r="M25" s="73" t="n"/>
      <c r="N25" s="73" t="n"/>
      <c r="O25" s="73" t="n"/>
      <c r="P25" s="73" t="n"/>
      <c r="Q25" s="73" t="n"/>
    </row>
    <row r="26">
      <c r="B26" s="58" t="inlineStr">
        <is>
          <t>Liquidity Ratio</t>
        </is>
      </c>
      <c r="C26" s="73" t="n"/>
      <c r="D26" s="73" t="n"/>
      <c r="E26" s="73" t="n"/>
      <c r="F26" s="73" t="n"/>
      <c r="G26" s="73" t="n"/>
      <c r="H26" s="73" t="n"/>
      <c r="I26" s="73" t="n"/>
      <c r="J26" s="73" t="n"/>
      <c r="K26" s="73" t="n"/>
      <c r="L26" s="73" t="n"/>
      <c r="M26" s="73" t="n"/>
      <c r="N26" s="73" t="n"/>
      <c r="O26" s="73" t="n"/>
      <c r="P26" s="73" t="n"/>
      <c r="Q26" s="73" t="n"/>
    </row>
    <row r="27">
      <c r="B27" s="57" t="inlineStr">
        <is>
          <t>Current ratio</t>
        </is>
      </c>
      <c r="C27" s="73">
        <f>'Historical data'!C56/SUM('Historical data'!C40:C42)</f>
        <v/>
      </c>
      <c r="D27" s="73">
        <f>'Historical data'!D56/SUM('Historical data'!D40:D42)</f>
        <v/>
      </c>
      <c r="E27" s="73">
        <f>'Historical data'!E56/SUM('Historical data'!E40:E42)</f>
        <v/>
      </c>
      <c r="F27" s="73">
        <f>'Historical data'!F56/SUM('Historical data'!F40:F42)</f>
        <v/>
      </c>
      <c r="G27" s="73">
        <f>'Historical data'!G56/SUM('Historical data'!G40:G42)</f>
        <v/>
      </c>
      <c r="H27" s="73">
        <f>'Historical data'!H56/SUM('Historical data'!H40:H42)</f>
        <v/>
      </c>
      <c r="I27" s="73">
        <f>'Historical data'!I56/SUM('Historical data'!I40:I42)</f>
        <v/>
      </c>
      <c r="J27" s="73">
        <f>'Historical data'!J56/SUM('Historical data'!J40:J42)</f>
        <v/>
      </c>
      <c r="K27" s="73">
        <f>'Historical data'!K56/SUM('Historical data'!K40:K42)</f>
        <v/>
      </c>
      <c r="L27" s="73">
        <f>'Historical data'!L56/SUM('Historical data'!L40:L42)</f>
        <v/>
      </c>
      <c r="M27" s="74">
        <f>'Historical data'!M56/SUM('Historical data'!M40:M42)</f>
        <v/>
      </c>
      <c r="N27" s="74">
        <f>'Historical data'!N56/SUM('Historical data'!N40:N42)</f>
        <v/>
      </c>
      <c r="O27" s="74">
        <f>'Historical data'!O56/SUM('Historical data'!O40:O42)</f>
        <v/>
      </c>
      <c r="P27" s="74">
        <f>'Historical data'!P56/SUM('Historical data'!P40:P42)</f>
        <v/>
      </c>
      <c r="Q27" s="74">
        <f>'Historical data'!Q56/SUM('Historical data'!Q40:Q42)</f>
        <v/>
      </c>
    </row>
    <row r="28">
      <c r="B28" s="57" t="inlineStr">
        <is>
          <t>Quick ratio</t>
        </is>
      </c>
      <c r="C28" s="73">
        <f>('Historical data'!C56-'Historical data'!C54)/SUM('Historical data'!C40:C42)</f>
        <v/>
      </c>
      <c r="D28" s="73">
        <f>('Historical data'!D56-'Historical data'!D54)/SUM('Historical data'!D40:D42)</f>
        <v/>
      </c>
      <c r="E28" s="73">
        <f>('Historical data'!E56-'Historical data'!E54)/SUM('Historical data'!E40:E42)</f>
        <v/>
      </c>
      <c r="F28" s="73">
        <f>('Historical data'!F56-'Historical data'!F54)/SUM('Historical data'!F40:F42)</f>
        <v/>
      </c>
      <c r="G28" s="73">
        <f>('Historical data'!G56-'Historical data'!G54)/SUM('Historical data'!G40:G42)</f>
        <v/>
      </c>
      <c r="H28" s="73">
        <f>('Historical data'!H56-'Historical data'!H54)/SUM('Historical data'!H40:H42)</f>
        <v/>
      </c>
      <c r="I28" s="73">
        <f>('Historical data'!I56-'Historical data'!I54)/SUM('Historical data'!I40:I42)</f>
        <v/>
      </c>
      <c r="J28" s="73">
        <f>('Historical data'!J56-'Historical data'!J54)/SUM('Historical data'!J40:J42)</f>
        <v/>
      </c>
      <c r="K28" s="73">
        <f>('Historical data'!K56-'Historical data'!K54)/SUM('Historical data'!K40:K42)</f>
        <v/>
      </c>
      <c r="L28" s="73">
        <f>('Historical data'!L56-'Historical data'!L54)/SUM('Historical data'!L40:L42)</f>
        <v/>
      </c>
      <c r="M28" s="74">
        <f>('Historical data'!M56-'Historical data'!M54)/SUM('Historical data'!M40:M42)</f>
        <v/>
      </c>
      <c r="N28" s="74">
        <f>('Historical data'!N56-'Historical data'!N54)/SUM('Historical data'!N40:N42)</f>
        <v/>
      </c>
      <c r="O28" s="74">
        <f>('Historical data'!O56-'Historical data'!O54)/SUM('Historical data'!O40:O42)</f>
        <v/>
      </c>
      <c r="P28" s="74">
        <f>('Historical data'!P56-'Historical data'!P54)/SUM('Historical data'!P40:P42)</f>
        <v/>
      </c>
      <c r="Q28" s="74">
        <f>('Historical data'!Q56-'Historical data'!Q54)/SUM('Historical data'!Q40:Q42)</f>
        <v/>
      </c>
    </row>
    <row r="29">
      <c r="B29" s="57" t="inlineStr">
        <is>
          <t>cash ratio</t>
        </is>
      </c>
      <c r="C29" s="73">
        <f>'Historical data'!C55/SUM('Historical data'!C40:C42)</f>
        <v/>
      </c>
      <c r="D29" s="73">
        <f>'Historical data'!D55/SUM('Historical data'!D40:D42)</f>
        <v/>
      </c>
      <c r="E29" s="73">
        <f>'Historical data'!E55/SUM('Historical data'!E40:E42)</f>
        <v/>
      </c>
      <c r="F29" s="73">
        <f>'Historical data'!F55/SUM('Historical data'!F40:F42)</f>
        <v/>
      </c>
      <c r="G29" s="73">
        <f>'Historical data'!G55/SUM('Historical data'!G40:G42)</f>
        <v/>
      </c>
      <c r="H29" s="73">
        <f>'Historical data'!H55/SUM('Historical data'!H40:H42)</f>
        <v/>
      </c>
      <c r="I29" s="73">
        <f>'Historical data'!I55/SUM('Historical data'!I40:I42)</f>
        <v/>
      </c>
      <c r="J29" s="73">
        <f>'Historical data'!J55/SUM('Historical data'!J40:J42)</f>
        <v/>
      </c>
      <c r="K29" s="73">
        <f>'Historical data'!K55/SUM('Historical data'!K40:K42)</f>
        <v/>
      </c>
      <c r="L29" s="73">
        <f>'Historical data'!L55/SUM('Historical data'!L40:L42)</f>
        <v/>
      </c>
      <c r="M29" s="74">
        <f>'Historical data'!M55/SUM('Historical data'!M40:M42)</f>
        <v/>
      </c>
      <c r="N29" s="74">
        <f>'Historical data'!N55/SUM('Historical data'!N40:N42)</f>
        <v/>
      </c>
      <c r="O29" s="74">
        <f>'Historical data'!O55/SUM('Historical data'!O40:O42)</f>
        <v/>
      </c>
      <c r="P29" s="74">
        <f>'Historical data'!P55/SUM('Historical data'!P40:P42)</f>
        <v/>
      </c>
      <c r="Q29" s="74">
        <f>'Historical data'!Q55/SUM('Historical data'!Q40:Q42)</f>
        <v/>
      </c>
    </row>
    <row r="30">
      <c r="B30" s="57" t="n"/>
      <c r="C30" s="73" t="n"/>
      <c r="D30" s="73" t="n"/>
      <c r="E30" s="73" t="n"/>
      <c r="F30" s="73" t="n"/>
      <c r="G30" s="73" t="n"/>
      <c r="H30" s="73" t="n"/>
      <c r="I30" s="73" t="n"/>
      <c r="J30" s="73" t="n"/>
      <c r="K30" s="73" t="n"/>
      <c r="L30" s="73" t="n"/>
      <c r="M30" s="73" t="n"/>
      <c r="N30" s="73" t="n"/>
      <c r="O30" s="73" t="n"/>
      <c r="P30" s="73" t="n"/>
      <c r="Q30" s="73" t="n"/>
    </row>
    <row r="31">
      <c r="B31" s="58" t="inlineStr">
        <is>
          <t>Market Ratio</t>
        </is>
      </c>
      <c r="C31" s="73" t="n"/>
      <c r="D31" s="73" t="n"/>
      <c r="E31" s="73" t="n"/>
      <c r="F31" s="73" t="n"/>
      <c r="G31" s="73" t="n"/>
      <c r="H31" s="73" t="n"/>
      <c r="I31" s="73" t="n"/>
      <c r="J31" s="73" t="n"/>
      <c r="K31" s="73" t="n"/>
      <c r="L31" s="73" t="n"/>
      <c r="M31" s="73" t="n"/>
      <c r="N31" s="73" t="n"/>
      <c r="O31" s="73" t="n"/>
      <c r="P31" s="73" t="n"/>
      <c r="Q31" s="73" t="n"/>
    </row>
    <row r="32">
      <c r="B32" s="57" t="inlineStr">
        <is>
          <t>Earning per share</t>
        </is>
      </c>
      <c r="C32" s="73">
        <f>'Historical data'!C32/Data!B93</f>
        <v/>
      </c>
      <c r="D32" s="73">
        <f>'Historical data'!D32/Data!C93</f>
        <v/>
      </c>
      <c r="E32" s="73">
        <f>'Historical data'!E32/Data!D93</f>
        <v/>
      </c>
      <c r="F32" s="73">
        <f>'Historical data'!F32/Data!E93</f>
        <v/>
      </c>
      <c r="G32" s="73">
        <f>'Historical data'!G32/Data!F93</f>
        <v/>
      </c>
      <c r="H32" s="73">
        <f>'Historical data'!H32/Data!G93</f>
        <v/>
      </c>
      <c r="I32" s="73">
        <f>'Historical data'!I32/Data!H93</f>
        <v/>
      </c>
      <c r="J32" s="73">
        <f>'Historical data'!J32/Data!I93</f>
        <v/>
      </c>
      <c r="K32" s="73">
        <f>'Historical data'!K32/Data!J93</f>
        <v/>
      </c>
      <c r="L32" s="73">
        <f>'Historical data'!L32/Data!K93</f>
        <v/>
      </c>
      <c r="M32" s="74">
        <f>FORECAST(M3,$C32:$L32,$C$3:$L$3)</f>
        <v/>
      </c>
      <c r="N32" s="74">
        <f>FORECAST(N3,$C32:$L32,$C$3:$L$3)</f>
        <v/>
      </c>
      <c r="O32" s="74">
        <f>FORECAST(O3,$C32:$L32,$C$3:$L$3)</f>
        <v/>
      </c>
      <c r="P32" s="74">
        <f>FORECAST(P3,$C32:$L32,$C$3:$L$3)</f>
        <v/>
      </c>
      <c r="Q32" s="74">
        <f>FORECAST(Q3,$C32:$L32,$C$3:$L$3)</f>
        <v/>
      </c>
    </row>
    <row r="33">
      <c r="B33" s="57" t="inlineStr">
        <is>
          <t>P/e ratio</t>
        </is>
      </c>
      <c r="C33" s="73">
        <f>Data!B90/'Ratio Analysis'!C32</f>
        <v/>
      </c>
      <c r="D33" s="73">
        <f>Data!C90/'Ratio Analysis'!D32</f>
        <v/>
      </c>
      <c r="E33" s="73">
        <f>Data!D90/'Ratio Analysis'!E32</f>
        <v/>
      </c>
      <c r="F33" s="73">
        <f>Data!E90/'Ratio Analysis'!F32</f>
        <v/>
      </c>
      <c r="G33" s="73">
        <f>Data!F90/'Ratio Analysis'!G32</f>
        <v/>
      </c>
      <c r="H33" s="73">
        <f>Data!G90/'Ratio Analysis'!H32</f>
        <v/>
      </c>
      <c r="I33" s="73">
        <f>Data!H90/'Ratio Analysis'!I32</f>
        <v/>
      </c>
      <c r="J33" s="73">
        <f>Data!I90/'Ratio Analysis'!J32</f>
        <v/>
      </c>
      <c r="K33" s="73">
        <f>Data!J90/'Ratio Analysis'!K32</f>
        <v/>
      </c>
      <c r="L33" s="73">
        <f>Data!K90/'Ratio Analysis'!L32</f>
        <v/>
      </c>
      <c r="M33" s="74">
        <f>FORECAST(M4,$C33:$L33,$C$3:$L$3)</f>
        <v/>
      </c>
      <c r="N33" s="74">
        <f>FORECAST(N4,$C33:$L33,$C$3:$L$3)</f>
        <v/>
      </c>
      <c r="O33" s="74">
        <f>FORECAST(O4,$C33:$L33,$C$3:$L$3)</f>
        <v/>
      </c>
      <c r="P33" s="74">
        <f>FORECAST(P4,$C33:$L33,$C$3:$L$3)</f>
        <v/>
      </c>
      <c r="Q33" s="74">
        <f>FORECAST(Q4,$C33:$L33,$C$3:$L$3)</f>
        <v/>
      </c>
    </row>
    <row r="34">
      <c r="B34" s="57" t="inlineStr">
        <is>
          <t>book value per share</t>
        </is>
      </c>
      <c r="C34" s="73">
        <f t="array" ref="C34">SUM('Historical data'!C36:C37/Data!B93)</f>
        <v/>
      </c>
      <c r="D34" s="73">
        <f t="array" ref="D34">SUM('Historical data'!D36:D37/Data!C93)</f>
        <v/>
      </c>
      <c r="E34" s="73">
        <f t="array" ref="E34">SUM('Historical data'!E36:E37/Data!D93)</f>
        <v/>
      </c>
      <c r="F34" s="73">
        <f t="array" ref="F34">SUM('Historical data'!F36:F37/Data!E93)</f>
        <v/>
      </c>
      <c r="G34" s="73">
        <f t="array" ref="G34">SUM('Historical data'!G36:G37/Data!F93)</f>
        <v/>
      </c>
      <c r="H34" s="73">
        <f t="array" ref="H34">SUM('Historical data'!H36:H37/Data!G93)</f>
        <v/>
      </c>
      <c r="I34" s="73">
        <f t="array" ref="I34">SUM('Historical data'!I36:I37/Data!H93)</f>
        <v/>
      </c>
      <c r="J34" s="73">
        <f t="array" ref="J34">SUM('Historical data'!J36:J37/Data!I93)</f>
        <v/>
      </c>
      <c r="K34" s="73">
        <f t="array" ref="K34">SUM('Historical data'!K36:K37/Data!J93)</f>
        <v/>
      </c>
      <c r="L34" s="73">
        <f t="array" ref="L34">SUM('Historical data'!L36:L37/Data!K93)</f>
        <v/>
      </c>
      <c r="M34" s="74">
        <f>FORECAST(M5,$C34:$L34,$C$3:$L$3)</f>
        <v/>
      </c>
      <c r="N34" s="74">
        <f>FORECAST(N5,$C34:$L34,$C$3:$L$3)</f>
        <v/>
      </c>
      <c r="O34" s="74">
        <f>FORECAST(O5,$C34:$L34,$C$3:$L$3)</f>
        <v/>
      </c>
      <c r="P34" s="74">
        <f>FORECAST(P5,$C34:$L34,$C$3:$L$3)</f>
        <v/>
      </c>
      <c r="Q34" s="74">
        <f>FORECAST(Q5,$C34:$L34,$C$3:$L$3)</f>
        <v/>
      </c>
    </row>
    <row r="35">
      <c r="B35" s="57" t="n"/>
      <c r="C35" s="73" t="n"/>
      <c r="D35" s="73" t="n"/>
      <c r="E35" s="73" t="n"/>
      <c r="F35" s="73" t="n"/>
      <c r="G35" s="73" t="n"/>
      <c r="H35" s="73" t="n"/>
      <c r="I35" s="73" t="n"/>
      <c r="J35" s="73" t="n"/>
      <c r="K35" s="73" t="n"/>
      <c r="L35" s="73" t="n"/>
      <c r="M35" s="73" t="n"/>
      <c r="N35" s="73" t="n"/>
      <c r="O35" s="73" t="n"/>
      <c r="P35" s="73" t="n"/>
      <c r="Q35" s="73" t="n"/>
    </row>
    <row r="36">
      <c r="B36" s="58" t="inlineStr">
        <is>
          <t>Operating cycle ratio</t>
        </is>
      </c>
    </row>
    <row r="37">
      <c r="B37" s="57" t="inlineStr">
        <is>
          <t>in days</t>
        </is>
      </c>
    </row>
    <row r="38">
      <c r="B38" s="57" t="inlineStr">
        <is>
          <t>inventory days</t>
        </is>
      </c>
      <c r="C38" s="72">
        <f>365/C20</f>
        <v/>
      </c>
      <c r="D38" s="72">
        <f>365/D20</f>
        <v/>
      </c>
      <c r="E38" s="72">
        <f>365/E20</f>
        <v/>
      </c>
      <c r="F38" s="72">
        <f>365/F20</f>
        <v/>
      </c>
      <c r="G38" s="72">
        <f>365/G20</f>
        <v/>
      </c>
      <c r="H38" s="72">
        <f>365/H20</f>
        <v/>
      </c>
      <c r="I38" s="72">
        <f>365/I20</f>
        <v/>
      </c>
      <c r="J38" s="72">
        <f>365/J20</f>
        <v/>
      </c>
      <c r="K38" s="72">
        <f>365/K20</f>
        <v/>
      </c>
      <c r="L38" s="72">
        <f>365/L20</f>
        <v/>
      </c>
      <c r="M38" s="75">
        <f>365/M20</f>
        <v/>
      </c>
      <c r="N38" s="75">
        <f>365/N20</f>
        <v/>
      </c>
      <c r="O38" s="75">
        <f>365/O20</f>
        <v/>
      </c>
      <c r="P38" s="75">
        <f>365/P20</f>
        <v/>
      </c>
      <c r="Q38" s="75">
        <f>365/Q20</f>
        <v/>
      </c>
    </row>
    <row r="39">
      <c r="B39" s="57" t="inlineStr">
        <is>
          <t>receiveable days</t>
        </is>
      </c>
      <c r="C39" s="72">
        <f>365/C21</f>
        <v/>
      </c>
      <c r="D39" s="72">
        <f>365/D21</f>
        <v/>
      </c>
      <c r="E39" s="72">
        <f>365/E21</f>
        <v/>
      </c>
      <c r="F39" s="72">
        <f>365/F21</f>
        <v/>
      </c>
      <c r="G39" s="72">
        <f>365/G21</f>
        <v/>
      </c>
      <c r="H39" s="72">
        <f>365/H21</f>
        <v/>
      </c>
      <c r="I39" s="72">
        <f>365/I21</f>
        <v/>
      </c>
      <c r="J39" s="72">
        <f>365/J21</f>
        <v/>
      </c>
      <c r="K39" s="72">
        <f>365/K21</f>
        <v/>
      </c>
      <c r="L39" s="72">
        <f>365/L21</f>
        <v/>
      </c>
      <c r="M39" s="75">
        <f>365/M21</f>
        <v/>
      </c>
      <c r="N39" s="75">
        <f>365/N21</f>
        <v/>
      </c>
      <c r="O39" s="75">
        <f>365/O21</f>
        <v/>
      </c>
      <c r="P39" s="75">
        <f>365/P21</f>
        <v/>
      </c>
      <c r="Q39" s="75">
        <f>365/Q21</f>
        <v/>
      </c>
    </row>
    <row r="40">
      <c r="B40" s="57" t="inlineStr">
        <is>
          <t>paybale days</t>
        </is>
      </c>
      <c r="C40" s="72">
        <f>365/C22</f>
        <v/>
      </c>
      <c r="D40" s="72">
        <f>365/D22</f>
        <v/>
      </c>
      <c r="E40" s="72">
        <f>365/E22</f>
        <v/>
      </c>
      <c r="F40" s="72">
        <f>365/F22</f>
        <v/>
      </c>
      <c r="G40" s="72">
        <f>365/G22</f>
        <v/>
      </c>
      <c r="H40" s="72">
        <f>365/H22</f>
        <v/>
      </c>
      <c r="I40" s="72">
        <f>365/I22</f>
        <v/>
      </c>
      <c r="J40" s="72">
        <f>365/J22</f>
        <v/>
      </c>
      <c r="K40" s="72">
        <f>365/K22</f>
        <v/>
      </c>
      <c r="L40" s="72">
        <f>365/L22</f>
        <v/>
      </c>
      <c r="M40" s="75">
        <f>365/M22</f>
        <v/>
      </c>
      <c r="N40" s="75">
        <f>365/N22</f>
        <v/>
      </c>
      <c r="O40" s="75">
        <f>365/O22</f>
        <v/>
      </c>
      <c r="P40" s="75">
        <f>365/P22</f>
        <v/>
      </c>
      <c r="Q40" s="75">
        <f>365/Q22</f>
        <v/>
      </c>
    </row>
    <row r="41">
      <c r="B41" s="57" t="n"/>
    </row>
    <row r="42">
      <c r="B42" s="57" t="inlineStr">
        <is>
          <t>Cash coversion cycle</t>
        </is>
      </c>
      <c r="C42" s="70">
        <f>SUM(C38:C39)-C40</f>
        <v/>
      </c>
      <c r="D42" s="70">
        <f>SUM(D38:D39)-D40</f>
        <v/>
      </c>
      <c r="E42" s="70">
        <f>SUM(E38:E39)-E40</f>
        <v/>
      </c>
      <c r="F42" s="70">
        <f>SUM(F38:F39)-F40</f>
        <v/>
      </c>
      <c r="G42" s="70">
        <f>SUM(G38:G39)-G40</f>
        <v/>
      </c>
      <c r="H42" s="70">
        <f>SUM(H38:H39)-H40</f>
        <v/>
      </c>
      <c r="I42" s="70">
        <f>SUM(I38:I39)-I40</f>
        <v/>
      </c>
      <c r="J42" s="70">
        <f>SUM(J38:J39)-J40</f>
        <v/>
      </c>
      <c r="K42" s="70">
        <f>SUM(K38:K39)-K40</f>
        <v/>
      </c>
      <c r="L42" s="70">
        <f>SUM(L38:L39)-L40</f>
        <v/>
      </c>
      <c r="M42" s="76">
        <f>SUM(M38:M39)-M40</f>
        <v/>
      </c>
      <c r="N42" s="76">
        <f>SUM(N38:N39)-N40</f>
        <v/>
      </c>
      <c r="O42" s="76">
        <f>SUM(O38:O39)-O40</f>
        <v/>
      </c>
      <c r="P42" s="76">
        <f>SUM(P38:P39)-P40</f>
        <v/>
      </c>
      <c r="Q42" s="76">
        <f>SUM(Q38:Q39)-Q40</f>
        <v/>
      </c>
    </row>
  </sheetData>
  <mergeCells count="1">
    <mergeCell ref="B2:Q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O27"/>
  <sheetViews>
    <sheetView showGridLines="0" tabSelected="1" topLeftCell="A2" zoomScale="80" zoomScaleNormal="80" workbookViewId="0">
      <selection activeCell="F24" sqref="F24"/>
    </sheetView>
  </sheetViews>
  <sheetFormatPr baseColWidth="8" defaultRowHeight="14.4"/>
  <cols>
    <col width="1.88671875" customWidth="1" min="1" max="1"/>
    <col width="14.77734375" bestFit="1" customWidth="1" min="2" max="2"/>
    <col width="12.5546875" bestFit="1" customWidth="1" min="3" max="3"/>
    <col width="18.109375" bestFit="1" customWidth="1" min="5" max="5"/>
  </cols>
  <sheetData>
    <row r="1">
      <c r="A1" s="57" t="n"/>
    </row>
    <row r="2">
      <c r="B2" s="105" t="inlineStr">
        <is>
          <t>WACC Calculation</t>
        </is>
      </c>
      <c r="E2" s="105">
        <f>"Discounted Cash Flow for " &amp;Data!B1</f>
        <v/>
      </c>
    </row>
    <row r="3">
      <c r="F3" t="n">
        <v>1</v>
      </c>
      <c r="G3" t="n">
        <v>2</v>
      </c>
      <c r="H3" t="n">
        <v>3</v>
      </c>
      <c r="I3" t="n">
        <v>4</v>
      </c>
      <c r="J3" t="n">
        <v>5</v>
      </c>
      <c r="K3" t="n">
        <v>6</v>
      </c>
      <c r="L3" t="n">
        <v>7</v>
      </c>
      <c r="M3" t="n">
        <v>8</v>
      </c>
      <c r="N3" t="n">
        <v>9</v>
      </c>
      <c r="O3" t="n">
        <v>10</v>
      </c>
    </row>
    <row r="4">
      <c r="B4" t="inlineStr">
        <is>
          <t>equity(E)</t>
        </is>
      </c>
      <c r="C4" s="104" t="n">
        <v>120752</v>
      </c>
      <c r="E4" t="inlineStr">
        <is>
          <t>EBIT</t>
        </is>
      </c>
      <c r="F4">
        <f>'Historical data'!C22</f>
        <v/>
      </c>
      <c r="G4">
        <f>'Historical data'!D22</f>
        <v/>
      </c>
      <c r="H4">
        <f>'Historical data'!E22</f>
        <v/>
      </c>
      <c r="I4">
        <f>'Historical data'!F22</f>
        <v/>
      </c>
      <c r="J4">
        <f>'Historical data'!G22</f>
        <v/>
      </c>
      <c r="K4">
        <f>'Historical data'!H22</f>
        <v/>
      </c>
      <c r="L4">
        <f>'Historical data'!I22</f>
        <v/>
      </c>
      <c r="M4">
        <f>'Historical data'!J22</f>
        <v/>
      </c>
      <c r="N4">
        <f>'Historical data'!K22</f>
        <v/>
      </c>
      <c r="O4">
        <f>'Historical data'!L22</f>
        <v/>
      </c>
    </row>
    <row r="5">
      <c r="B5" t="inlineStr">
        <is>
          <t>Debt(D)</t>
        </is>
      </c>
      <c r="C5" s="81" t="n">
        <v>76141.27</v>
      </c>
      <c r="E5" t="inlineStr">
        <is>
          <t>Tax Rate</t>
        </is>
      </c>
      <c r="F5" s="78">
        <f>$C$10</f>
        <v/>
      </c>
      <c r="G5" s="78">
        <f>$C$10</f>
        <v/>
      </c>
      <c r="H5" s="78">
        <f>$C$10</f>
        <v/>
      </c>
      <c r="I5" s="78">
        <f>$C$10</f>
        <v/>
      </c>
      <c r="J5" s="78">
        <f>$C$10</f>
        <v/>
      </c>
      <c r="K5" s="78">
        <f>$C$10</f>
        <v/>
      </c>
      <c r="L5" s="78">
        <f>$C$10</f>
        <v/>
      </c>
      <c r="M5" s="78">
        <f>$C$10</f>
        <v/>
      </c>
      <c r="N5" s="78">
        <f>$C$10</f>
        <v/>
      </c>
      <c r="O5" s="78">
        <f>$C$10</f>
        <v/>
      </c>
    </row>
    <row r="6">
      <c r="B6" t="inlineStr">
        <is>
          <t>Rf</t>
        </is>
      </c>
      <c r="C6" s="82" t="n">
        <v>0.0626</v>
      </c>
      <c r="E6" t="inlineStr">
        <is>
          <t>Deppriciation</t>
        </is>
      </c>
      <c r="F6">
        <f>'Historical data'!C20</f>
        <v/>
      </c>
      <c r="G6">
        <f>'Historical data'!D20</f>
        <v/>
      </c>
      <c r="H6">
        <f>'Historical data'!E20</f>
        <v/>
      </c>
      <c r="I6">
        <f>'Historical data'!F20</f>
        <v/>
      </c>
      <c r="J6">
        <f>'Historical data'!G20</f>
        <v/>
      </c>
      <c r="K6">
        <f>'Historical data'!H20</f>
        <v/>
      </c>
      <c r="L6">
        <f>'Historical data'!I20</f>
        <v/>
      </c>
      <c r="M6">
        <f>'Historical data'!J20</f>
        <v/>
      </c>
      <c r="N6">
        <f>'Historical data'!K20</f>
        <v/>
      </c>
      <c r="O6">
        <f>'Historical data'!L20</f>
        <v/>
      </c>
    </row>
    <row r="7">
      <c r="B7" t="inlineStr">
        <is>
          <t>Rm</t>
        </is>
      </c>
      <c r="C7" s="77">
        <f>C6+(C9*C8)</f>
        <v/>
      </c>
      <c r="E7" t="inlineStr">
        <is>
          <t>Ammortisation</t>
        </is>
      </c>
    </row>
    <row r="8">
      <c r="B8" t="inlineStr">
        <is>
          <t>ERP</t>
        </is>
      </c>
      <c r="C8" s="83" t="n">
        <v>0.0412</v>
      </c>
      <c r="E8" t="inlineStr">
        <is>
          <t>Capex</t>
        </is>
      </c>
      <c r="F8">
        <f>'Historical data'!C77</f>
        <v/>
      </c>
      <c r="G8">
        <f>'Historical data'!D77</f>
        <v/>
      </c>
      <c r="H8">
        <f>'Historical data'!E77</f>
        <v/>
      </c>
      <c r="I8">
        <f>'Historical data'!F77</f>
        <v/>
      </c>
      <c r="J8">
        <f>'Historical data'!G77</f>
        <v/>
      </c>
      <c r="K8">
        <f>'Historical data'!H77</f>
        <v/>
      </c>
      <c r="L8">
        <f>'Historical data'!I77</f>
        <v/>
      </c>
      <c r="M8">
        <f>'Historical data'!J77</f>
        <v/>
      </c>
      <c r="N8">
        <f>'Historical data'!K77</f>
        <v/>
      </c>
      <c r="O8">
        <f>'Historical data'!L77</f>
        <v/>
      </c>
    </row>
    <row r="9">
      <c r="B9" t="inlineStr">
        <is>
          <t>Beta</t>
        </is>
      </c>
      <c r="C9" s="84" t="n">
        <v>0.8</v>
      </c>
      <c r="E9" t="inlineStr">
        <is>
          <t>Non Cash WC</t>
        </is>
      </c>
      <c r="F9" s="66">
        <f>SUM('Historical data'!C53:C54)-'Historical data'!C41</f>
        <v/>
      </c>
      <c r="G9" s="66">
        <f>SUM('Historical data'!D53:D54)-'Historical data'!D41</f>
        <v/>
      </c>
      <c r="H9" s="66">
        <f>SUM('Historical data'!E53:E54)-'Historical data'!E41</f>
        <v/>
      </c>
      <c r="I9" s="66">
        <f>SUM('Historical data'!F53:F54)-'Historical data'!F41</f>
        <v/>
      </c>
      <c r="J9" s="66">
        <f>SUM('Historical data'!G53:G54)-'Historical data'!G41</f>
        <v/>
      </c>
      <c r="K9" s="66">
        <f>SUM('Historical data'!H53:H54)-'Historical data'!H41</f>
        <v/>
      </c>
      <c r="L9" s="66">
        <f>SUM('Historical data'!I53:I54)-'Historical data'!I41</f>
        <v/>
      </c>
      <c r="M9" s="66">
        <f>SUM('Historical data'!J53:J54)-'Historical data'!J41</f>
        <v/>
      </c>
      <c r="N9" s="66">
        <f>SUM('Historical data'!K53:K54)-'Historical data'!K41</f>
        <v/>
      </c>
      <c r="O9" s="66">
        <f>SUM('Historical data'!L53:L54)-'Historical data'!L41</f>
        <v/>
      </c>
    </row>
    <row r="10">
      <c r="B10" t="inlineStr">
        <is>
          <t>Tax Rate</t>
        </is>
      </c>
      <c r="C10" s="77">
        <f>'Historical data'!L30/'Historical data'!L27</f>
        <v/>
      </c>
    </row>
    <row r="11">
      <c r="B11" t="inlineStr">
        <is>
          <t>Kd</t>
        </is>
      </c>
      <c r="C11" s="70">
        <f>'Historical data'!L25/('Historical data'!L38*(1-'DCF Modelling'!C10))</f>
        <v/>
      </c>
      <c r="E11" s="87" t="inlineStr">
        <is>
          <t>FCF</t>
        </is>
      </c>
      <c r="F11" s="87">
        <f>F4*(1-F5)+F6+F7+F8+F9</f>
        <v/>
      </c>
      <c r="G11" s="87">
        <f>G4*(1-G5)+G6+G7+G8+G9</f>
        <v/>
      </c>
      <c r="H11" s="87">
        <f>H4*(1-H5)+H6+H7+H8+H9</f>
        <v/>
      </c>
      <c r="I11" s="87">
        <f>I4*(1-I5)+I6+I7+I8+I9</f>
        <v/>
      </c>
      <c r="J11" s="87">
        <f>J4*(1-J5)+J6+J7+J8+J9</f>
        <v/>
      </c>
      <c r="K11" s="87">
        <f>K4*(1-K5)+K6+K7+K8+K9</f>
        <v/>
      </c>
      <c r="L11" s="87">
        <f>L4*(1-L5)+L6+L7+L8+L9</f>
        <v/>
      </c>
      <c r="M11" s="87">
        <f>M4*(1-M5)+M6+M7+M8+M9</f>
        <v/>
      </c>
      <c r="N11" s="87">
        <f>N4*(1-N5)+N6+N7+N8+N9</f>
        <v/>
      </c>
      <c r="O11" s="87">
        <f>O4*(1-O5)+O6+O7+O8+O9</f>
        <v/>
      </c>
    </row>
    <row r="13">
      <c r="B13" t="inlineStr">
        <is>
          <t>Cost of equity</t>
        </is>
      </c>
      <c r="C13">
        <f>C6+(C7-C6)*C9</f>
        <v/>
      </c>
      <c r="E13" t="inlineStr">
        <is>
          <t>Growth Rate</t>
        </is>
      </c>
      <c r="F13" s="78" t="n">
        <v>0.04</v>
      </c>
    </row>
    <row r="14">
      <c r="B14" t="inlineStr">
        <is>
          <t>ew</t>
        </is>
      </c>
      <c r="C14">
        <f>C4/SUM(C4:C5)</f>
        <v/>
      </c>
      <c r="E14" t="inlineStr">
        <is>
          <t>WACC</t>
        </is>
      </c>
      <c r="F14" s="78">
        <f>C17</f>
        <v/>
      </c>
    </row>
    <row r="15">
      <c r="B15" t="inlineStr">
        <is>
          <t>dw</t>
        </is>
      </c>
      <c r="C15">
        <f>C5/SUM(C4:C5)</f>
        <v/>
      </c>
      <c r="E15" s="86" t="inlineStr">
        <is>
          <t>Terminal Value</t>
        </is>
      </c>
      <c r="F15" s="86">
        <f>(O11*(1+F13))/(F14-F13)</f>
        <v/>
      </c>
    </row>
    <row r="17">
      <c r="B17" s="54" t="inlineStr">
        <is>
          <t>WACC</t>
        </is>
      </c>
      <c r="C17" s="85">
        <f>(C14*C13) + (C15*C11*(1-C10))</f>
        <v/>
      </c>
      <c r="E17" t="inlineStr">
        <is>
          <t>Discount Factor</t>
        </is>
      </c>
      <c r="F17">
        <f>1/(1+$F$14)^F3</f>
        <v/>
      </c>
      <c r="G17">
        <f>1/(1+$F$14)^G3</f>
        <v/>
      </c>
      <c r="H17">
        <f>1/(1+$F$14)^H3</f>
        <v/>
      </c>
      <c r="I17">
        <f>1/(1+$F$14)^I3</f>
        <v/>
      </c>
      <c r="J17">
        <f>1/(1+$F$14)^J3</f>
        <v/>
      </c>
      <c r="K17">
        <f>1/(1+$F$14)^K3</f>
        <v/>
      </c>
      <c r="L17">
        <f>1/(1+$F$14)^L3</f>
        <v/>
      </c>
      <c r="M17">
        <f>1/(1+$F$14)^M3</f>
        <v/>
      </c>
      <c r="N17">
        <f>1/(1+$F$14)^N3</f>
        <v/>
      </c>
      <c r="O17">
        <f>1/(1+$F$14)^O3</f>
        <v/>
      </c>
    </row>
    <row r="18">
      <c r="E18" t="inlineStr">
        <is>
          <t>PV of FCF</t>
        </is>
      </c>
      <c r="F18">
        <f>F11*F17</f>
        <v/>
      </c>
      <c r="G18">
        <f>G11*G17</f>
        <v/>
      </c>
      <c r="H18">
        <f>H11*H17</f>
        <v/>
      </c>
      <c r="I18">
        <f>I11*I17</f>
        <v/>
      </c>
      <c r="J18">
        <f>J11*J17</f>
        <v/>
      </c>
      <c r="K18">
        <f>K11*K17</f>
        <v/>
      </c>
      <c r="L18">
        <f>L11*L17</f>
        <v/>
      </c>
      <c r="M18">
        <f>M11*M17</f>
        <v/>
      </c>
      <c r="N18">
        <f>N11*N17</f>
        <v/>
      </c>
      <c r="O18">
        <f>O11*O17</f>
        <v/>
      </c>
    </row>
    <row r="19">
      <c r="E19" t="inlineStr">
        <is>
          <t>PV of Terminal Value</t>
        </is>
      </c>
      <c r="F19">
        <f>F15*O17</f>
        <v/>
      </c>
    </row>
    <row r="21">
      <c r="E21" s="86" t="inlineStr">
        <is>
          <t>Enterprise Value</t>
        </is>
      </c>
      <c r="F21" s="86">
        <f>SUM(F18:O19)</f>
        <v/>
      </c>
    </row>
    <row r="23">
      <c r="E23" s="86" t="inlineStr">
        <is>
          <t>Equity Value</t>
        </is>
      </c>
      <c r="F23" s="86">
        <f>F21-('Historical data'!L38-'Historical data'!L55)</f>
        <v/>
      </c>
    </row>
    <row r="25">
      <c r="E25" s="86" t="inlineStr">
        <is>
          <t>No of Shares</t>
        </is>
      </c>
      <c r="F25" s="86">
        <f>Data!J93</f>
        <v/>
      </c>
    </row>
    <row r="27">
      <c r="E27" s="86" t="inlineStr">
        <is>
          <t>Share Price</t>
        </is>
      </c>
      <c r="F27" s="86">
        <f>F23/F25</f>
        <v/>
      </c>
    </row>
  </sheetData>
  <mergeCells count="2">
    <mergeCell ref="B2:C2"/>
    <mergeCell ref="E2:O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Q44"/>
  <sheetViews>
    <sheetView showGridLines="0" workbookViewId="0">
      <selection activeCell="B2" sqref="B2:L3"/>
    </sheetView>
  </sheetViews>
  <sheetFormatPr baseColWidth="8" defaultRowHeight="14.4"/>
  <cols>
    <col width="1.88671875" customWidth="1" min="1" max="1"/>
    <col width="18.21875" bestFit="1" customWidth="1" min="2" max="2"/>
  </cols>
  <sheetData>
    <row r="2">
      <c r="B2" s="105">
        <f>"Common Size Income Statement For " &amp;Data!$B$1</f>
        <v/>
      </c>
      <c r="M2" s="88" t="n"/>
      <c r="N2" s="88" t="n"/>
      <c r="O2" s="88" t="n"/>
      <c r="P2" s="88" t="n"/>
      <c r="Q2" s="88" t="n"/>
    </row>
    <row r="3">
      <c r="B3" s="26" t="inlineStr">
        <is>
          <t>Year</t>
        </is>
      </c>
      <c r="C3" s="52">
        <f>Data!B16</f>
        <v/>
      </c>
      <c r="D3" s="52">
        <f>Data!C16</f>
        <v/>
      </c>
      <c r="E3" s="52">
        <f>Data!D16</f>
        <v/>
      </c>
      <c r="F3" s="52">
        <f>Data!E16</f>
        <v/>
      </c>
      <c r="G3" s="52">
        <f>Data!F16</f>
        <v/>
      </c>
      <c r="H3" s="52">
        <f>Data!G16</f>
        <v/>
      </c>
      <c r="I3" s="52">
        <f>Data!H16</f>
        <v/>
      </c>
      <c r="J3" s="52">
        <f>Data!I16</f>
        <v/>
      </c>
      <c r="K3" s="52">
        <f>Data!J16</f>
        <v/>
      </c>
      <c r="L3" s="52">
        <f>Data!K16</f>
        <v/>
      </c>
      <c r="M3" s="89" t="n"/>
      <c r="N3" s="89" t="n"/>
      <c r="O3" s="89" t="n"/>
      <c r="P3" s="89" t="n"/>
      <c r="Q3" s="89" t="n"/>
    </row>
    <row r="4">
      <c r="B4" s="109" t="inlineStr">
        <is>
          <t>Sales</t>
        </is>
      </c>
      <c r="C4">
        <f>Data!B17/Data!B$17</f>
        <v/>
      </c>
      <c r="D4">
        <f>Data!C17/Data!C$17</f>
        <v/>
      </c>
      <c r="E4">
        <f>Data!D17/Data!D$17</f>
        <v/>
      </c>
      <c r="F4">
        <f>Data!E17/Data!E$17</f>
        <v/>
      </c>
      <c r="G4">
        <f>Data!F17/Data!F$17</f>
        <v/>
      </c>
      <c r="H4">
        <f>Data!G17/Data!G$17</f>
        <v/>
      </c>
      <c r="I4">
        <f>Data!H17/Data!H$17</f>
        <v/>
      </c>
      <c r="J4">
        <f>Data!I17/Data!I$17</f>
        <v/>
      </c>
      <c r="K4">
        <f>Data!J17/Data!J$17</f>
        <v/>
      </c>
      <c r="L4">
        <f>Data!K17/Data!K$17</f>
        <v/>
      </c>
    </row>
    <row r="5">
      <c r="B5" s="114" t="inlineStr">
        <is>
          <t>Raw Material Cost</t>
        </is>
      </c>
      <c r="C5">
        <f>Data!B18/Data!B$17</f>
        <v/>
      </c>
      <c r="D5">
        <f>Data!C18/Data!C$17</f>
        <v/>
      </c>
      <c r="E5">
        <f>Data!D18/Data!D$17</f>
        <v/>
      </c>
      <c r="F5">
        <f>Data!E18/Data!E$17</f>
        <v/>
      </c>
      <c r="G5">
        <f>Data!F18/Data!F$17</f>
        <v/>
      </c>
      <c r="H5">
        <f>Data!G18/Data!G$17</f>
        <v/>
      </c>
      <c r="I5">
        <f>Data!H18/Data!H$17</f>
        <v/>
      </c>
      <c r="J5">
        <f>Data!I18/Data!I$17</f>
        <v/>
      </c>
      <c r="K5">
        <f>Data!J18/Data!J$17</f>
        <v/>
      </c>
      <c r="L5">
        <f>Data!K18/Data!K$17</f>
        <v/>
      </c>
    </row>
    <row r="6">
      <c r="B6" s="114" t="inlineStr">
        <is>
          <t>Change in Inventory</t>
        </is>
      </c>
      <c r="C6">
        <f>Data!B19/Data!B$17</f>
        <v/>
      </c>
      <c r="D6">
        <f>Data!C19/Data!C$17</f>
        <v/>
      </c>
      <c r="E6">
        <f>Data!D19/Data!D$17</f>
        <v/>
      </c>
      <c r="F6">
        <f>Data!E19/Data!E$17</f>
        <v/>
      </c>
      <c r="G6">
        <f>Data!F19/Data!F$17</f>
        <v/>
      </c>
      <c r="H6">
        <f>Data!G19/Data!G$17</f>
        <v/>
      </c>
      <c r="I6">
        <f>Data!H19/Data!H$17</f>
        <v/>
      </c>
      <c r="J6">
        <f>Data!I19/Data!I$17</f>
        <v/>
      </c>
      <c r="K6">
        <f>Data!J19/Data!J$17</f>
        <v/>
      </c>
      <c r="L6">
        <f>Data!K19/Data!K$17</f>
        <v/>
      </c>
    </row>
    <row r="7">
      <c r="B7" s="114" t="inlineStr">
        <is>
          <t>Power and Fuel</t>
        </is>
      </c>
      <c r="C7">
        <f>Data!B20/Data!B$17</f>
        <v/>
      </c>
      <c r="D7">
        <f>Data!C20/Data!C$17</f>
        <v/>
      </c>
      <c r="E7">
        <f>Data!D20/Data!D$17</f>
        <v/>
      </c>
      <c r="F7">
        <f>Data!E20/Data!E$17</f>
        <v/>
      </c>
      <c r="G7">
        <f>Data!F20/Data!F$17</f>
        <v/>
      </c>
      <c r="H7">
        <f>Data!G20/Data!G$17</f>
        <v/>
      </c>
      <c r="I7">
        <f>Data!H20/Data!H$17</f>
        <v/>
      </c>
      <c r="J7">
        <f>Data!I20/Data!I$17</f>
        <v/>
      </c>
      <c r="K7">
        <f>Data!J20/Data!J$17</f>
        <v/>
      </c>
      <c r="L7">
        <f>Data!K20/Data!K$17</f>
        <v/>
      </c>
    </row>
    <row r="8">
      <c r="B8" s="114" t="inlineStr">
        <is>
          <t>Other Mfr. Exp</t>
        </is>
      </c>
      <c r="C8">
        <f>Data!B21/Data!B$17</f>
        <v/>
      </c>
      <c r="D8">
        <f>Data!C21/Data!C$17</f>
        <v/>
      </c>
      <c r="E8">
        <f>Data!D21/Data!D$17</f>
        <v/>
      </c>
      <c r="F8">
        <f>Data!E21/Data!E$17</f>
        <v/>
      </c>
      <c r="G8">
        <f>Data!F21/Data!F$17</f>
        <v/>
      </c>
      <c r="H8">
        <f>Data!G21/Data!G$17</f>
        <v/>
      </c>
      <c r="I8">
        <f>Data!H21/Data!H$17</f>
        <v/>
      </c>
      <c r="J8">
        <f>Data!I21/Data!I$17</f>
        <v/>
      </c>
      <c r="K8">
        <f>Data!J21/Data!J$17</f>
        <v/>
      </c>
      <c r="L8">
        <f>Data!K21/Data!K$17</f>
        <v/>
      </c>
    </row>
    <row r="9">
      <c r="B9" s="114" t="inlineStr">
        <is>
          <t>Employee Cost</t>
        </is>
      </c>
      <c r="C9">
        <f>Data!B22/Data!B$17</f>
        <v/>
      </c>
      <c r="D9">
        <f>Data!C22/Data!C$17</f>
        <v/>
      </c>
      <c r="E9">
        <f>Data!D22/Data!D$17</f>
        <v/>
      </c>
      <c r="F9">
        <f>Data!E22/Data!E$17</f>
        <v/>
      </c>
      <c r="G9">
        <f>Data!F22/Data!F$17</f>
        <v/>
      </c>
      <c r="H9">
        <f>Data!G22/Data!G$17</f>
        <v/>
      </c>
      <c r="I9">
        <f>Data!H22/Data!H$17</f>
        <v/>
      </c>
      <c r="J9">
        <f>Data!I22/Data!I$17</f>
        <v/>
      </c>
      <c r="K9">
        <f>Data!J22/Data!J$17</f>
        <v/>
      </c>
      <c r="L9">
        <f>Data!K22/Data!K$17</f>
        <v/>
      </c>
    </row>
    <row r="10">
      <c r="B10" s="114" t="inlineStr">
        <is>
          <t>Selling and admin</t>
        </is>
      </c>
      <c r="C10">
        <f>Data!B23/Data!B$17</f>
        <v/>
      </c>
      <c r="D10">
        <f>Data!C23/Data!C$17</f>
        <v/>
      </c>
      <c r="E10">
        <f>Data!D23/Data!D$17</f>
        <v/>
      </c>
      <c r="F10">
        <f>Data!E23/Data!E$17</f>
        <v/>
      </c>
      <c r="G10">
        <f>Data!F23/Data!F$17</f>
        <v/>
      </c>
      <c r="H10">
        <f>Data!G23/Data!G$17</f>
        <v/>
      </c>
      <c r="I10">
        <f>Data!H23/Data!H$17</f>
        <v/>
      </c>
      <c r="J10">
        <f>Data!I23/Data!I$17</f>
        <v/>
      </c>
      <c r="K10">
        <f>Data!J23/Data!J$17</f>
        <v/>
      </c>
      <c r="L10">
        <f>Data!K23/Data!K$17</f>
        <v/>
      </c>
    </row>
    <row r="11">
      <c r="B11" s="114" t="inlineStr">
        <is>
          <t>Other Expenses</t>
        </is>
      </c>
      <c r="C11">
        <f>Data!B24/Data!B$17</f>
        <v/>
      </c>
      <c r="D11">
        <f>Data!C24/Data!C$17</f>
        <v/>
      </c>
      <c r="E11">
        <f>Data!D24/Data!D$17</f>
        <v/>
      </c>
      <c r="F11">
        <f>Data!E24/Data!E$17</f>
        <v/>
      </c>
      <c r="G11">
        <f>Data!F24/Data!F$17</f>
        <v/>
      </c>
      <c r="H11">
        <f>Data!G24/Data!G$17</f>
        <v/>
      </c>
      <c r="I11">
        <f>Data!H24/Data!H$17</f>
        <v/>
      </c>
      <c r="J11">
        <f>Data!I24/Data!I$17</f>
        <v/>
      </c>
      <c r="K11">
        <f>Data!J24/Data!J$17</f>
        <v/>
      </c>
      <c r="L11">
        <f>Data!K24/Data!K$17</f>
        <v/>
      </c>
    </row>
    <row r="12">
      <c r="B12" s="109" t="inlineStr">
        <is>
          <t>Other Income</t>
        </is>
      </c>
      <c r="C12">
        <f>Data!B25/Data!B$17</f>
        <v/>
      </c>
      <c r="D12">
        <f>Data!C25/Data!C$17</f>
        <v/>
      </c>
      <c r="E12">
        <f>Data!D25/Data!D$17</f>
        <v/>
      </c>
      <c r="F12">
        <f>Data!E25/Data!E$17</f>
        <v/>
      </c>
      <c r="G12">
        <f>Data!F25/Data!F$17</f>
        <v/>
      </c>
      <c r="H12">
        <f>Data!G25/Data!G$17</f>
        <v/>
      </c>
      <c r="I12">
        <f>Data!H25/Data!H$17</f>
        <v/>
      </c>
      <c r="J12">
        <f>Data!I25/Data!I$17</f>
        <v/>
      </c>
      <c r="K12">
        <f>Data!J25/Data!J$17</f>
        <v/>
      </c>
      <c r="L12">
        <f>Data!K25/Data!K$17</f>
        <v/>
      </c>
    </row>
    <row r="13">
      <c r="B13" s="109" t="inlineStr">
        <is>
          <t>Depreciation</t>
        </is>
      </c>
      <c r="C13">
        <f>Data!B26/Data!B$17</f>
        <v/>
      </c>
      <c r="D13">
        <f>Data!C26/Data!C$17</f>
        <v/>
      </c>
      <c r="E13">
        <f>Data!D26/Data!D$17</f>
        <v/>
      </c>
      <c r="F13">
        <f>Data!E26/Data!E$17</f>
        <v/>
      </c>
      <c r="G13">
        <f>Data!F26/Data!F$17</f>
        <v/>
      </c>
      <c r="H13">
        <f>Data!G26/Data!G$17</f>
        <v/>
      </c>
      <c r="I13">
        <f>Data!H26/Data!H$17</f>
        <v/>
      </c>
      <c r="J13">
        <f>Data!I26/Data!I$17</f>
        <v/>
      </c>
      <c r="K13">
        <f>Data!J26/Data!J$17</f>
        <v/>
      </c>
      <c r="L13">
        <f>Data!K26/Data!K$17</f>
        <v/>
      </c>
    </row>
    <row r="14">
      <c r="B14" s="109" t="inlineStr">
        <is>
          <t>Interest</t>
        </is>
      </c>
      <c r="C14">
        <f>Data!B27/Data!B$17</f>
        <v/>
      </c>
      <c r="D14">
        <f>Data!C27/Data!C$17</f>
        <v/>
      </c>
      <c r="E14">
        <f>Data!D27/Data!D$17</f>
        <v/>
      </c>
      <c r="F14">
        <f>Data!E27/Data!E$17</f>
        <v/>
      </c>
      <c r="G14">
        <f>Data!F27/Data!F$17</f>
        <v/>
      </c>
      <c r="H14">
        <f>Data!G27/Data!G$17</f>
        <v/>
      </c>
      <c r="I14">
        <f>Data!H27/Data!H$17</f>
        <v/>
      </c>
      <c r="J14">
        <f>Data!I27/Data!I$17</f>
        <v/>
      </c>
      <c r="K14">
        <f>Data!J27/Data!J$17</f>
        <v/>
      </c>
      <c r="L14">
        <f>Data!K27/Data!K$17</f>
        <v/>
      </c>
    </row>
    <row r="15">
      <c r="B15" s="109" t="inlineStr">
        <is>
          <t>Profit before tax</t>
        </is>
      </c>
      <c r="C15">
        <f>Data!B28/Data!B$17</f>
        <v/>
      </c>
      <c r="D15">
        <f>Data!C28/Data!C$17</f>
        <v/>
      </c>
      <c r="E15">
        <f>Data!D28/Data!D$17</f>
        <v/>
      </c>
      <c r="F15">
        <f>Data!E28/Data!E$17</f>
        <v/>
      </c>
      <c r="G15">
        <f>Data!F28/Data!F$17</f>
        <v/>
      </c>
      <c r="H15">
        <f>Data!G28/Data!G$17</f>
        <v/>
      </c>
      <c r="I15">
        <f>Data!H28/Data!H$17</f>
        <v/>
      </c>
      <c r="J15">
        <f>Data!I28/Data!I$17</f>
        <v/>
      </c>
      <c r="K15">
        <f>Data!J28/Data!J$17</f>
        <v/>
      </c>
      <c r="L15">
        <f>Data!K28/Data!K$17</f>
        <v/>
      </c>
    </row>
    <row r="16">
      <c r="B16" s="109" t="inlineStr">
        <is>
          <t>Tax</t>
        </is>
      </c>
      <c r="C16">
        <f>Data!B29/Data!B$17</f>
        <v/>
      </c>
      <c r="D16">
        <f>Data!C29/Data!C$17</f>
        <v/>
      </c>
      <c r="E16">
        <f>Data!D29/Data!D$17</f>
        <v/>
      </c>
      <c r="F16">
        <f>Data!E29/Data!E$17</f>
        <v/>
      </c>
      <c r="G16">
        <f>Data!F29/Data!F$17</f>
        <v/>
      </c>
      <c r="H16">
        <f>Data!G29/Data!G$17</f>
        <v/>
      </c>
      <c r="I16">
        <f>Data!H29/Data!H$17</f>
        <v/>
      </c>
      <c r="J16">
        <f>Data!I29/Data!I$17</f>
        <v/>
      </c>
      <c r="K16">
        <f>Data!J29/Data!J$17</f>
        <v/>
      </c>
      <c r="L16">
        <f>Data!K29/Data!K$17</f>
        <v/>
      </c>
    </row>
    <row r="17">
      <c r="B17" s="109" t="inlineStr">
        <is>
          <t>Net profit</t>
        </is>
      </c>
      <c r="C17">
        <f>Data!B30/Data!B$17</f>
        <v/>
      </c>
      <c r="D17">
        <f>Data!C30/Data!C$17</f>
        <v/>
      </c>
      <c r="E17">
        <f>Data!D30/Data!D$17</f>
        <v/>
      </c>
      <c r="F17">
        <f>Data!E30/Data!E$17</f>
        <v/>
      </c>
      <c r="G17">
        <f>Data!F30/Data!F$17</f>
        <v/>
      </c>
      <c r="H17">
        <f>Data!G30/Data!G$17</f>
        <v/>
      </c>
      <c r="I17">
        <f>Data!H30/Data!H$17</f>
        <v/>
      </c>
      <c r="J17">
        <f>Data!I30/Data!I$17</f>
        <v/>
      </c>
      <c r="K17">
        <f>Data!J30/Data!J$17</f>
        <v/>
      </c>
      <c r="L17">
        <f>Data!K30/Data!K$17</f>
        <v/>
      </c>
    </row>
    <row r="18">
      <c r="B18" s="109" t="inlineStr">
        <is>
          <t>Dividend Amount</t>
        </is>
      </c>
      <c r="C18">
        <f>Data!B31/Data!B$17</f>
        <v/>
      </c>
      <c r="D18">
        <f>Data!C31/Data!C$17</f>
        <v/>
      </c>
      <c r="E18">
        <f>Data!D31/Data!D$17</f>
        <v/>
      </c>
      <c r="F18">
        <f>Data!E31/Data!E$17</f>
        <v/>
      </c>
      <c r="G18">
        <f>Data!F31/Data!F$17</f>
        <v/>
      </c>
      <c r="H18">
        <f>Data!G31/Data!G$17</f>
        <v/>
      </c>
      <c r="I18">
        <f>Data!H31/Data!H$17</f>
        <v/>
      </c>
      <c r="J18">
        <f>Data!I31/Data!I$17</f>
        <v/>
      </c>
      <c r="K18">
        <f>Data!J31/Data!J$17</f>
        <v/>
      </c>
      <c r="L18">
        <f>Data!K31/Data!K$17</f>
        <v/>
      </c>
    </row>
    <row r="19">
      <c r="B19" s="109" t="inlineStr">
        <is>
          <t>EBITDA</t>
        </is>
      </c>
      <c r="C19">
        <f>Data!B32/Data!B$17</f>
        <v/>
      </c>
      <c r="D19">
        <f>Data!C32/Data!C$17</f>
        <v/>
      </c>
      <c r="E19">
        <f>Data!D32/Data!D$17</f>
        <v/>
      </c>
      <c r="F19">
        <f>Data!E32/Data!E$17</f>
        <v/>
      </c>
      <c r="G19">
        <f>Data!F32/Data!F$17</f>
        <v/>
      </c>
      <c r="H19">
        <f>Data!G32/Data!G$17</f>
        <v/>
      </c>
      <c r="I19">
        <f>Data!H32/Data!H$17</f>
        <v/>
      </c>
      <c r="J19">
        <f>Data!I32/Data!I$17</f>
        <v/>
      </c>
      <c r="K19">
        <f>Data!J32/Data!J$17</f>
        <v/>
      </c>
      <c r="L19">
        <f>Data!K32/Data!K$17</f>
        <v/>
      </c>
    </row>
    <row r="20">
      <c r="B20" s="109" t="inlineStr">
        <is>
          <t>EBIT `</t>
        </is>
      </c>
      <c r="C20">
        <f>Data!B33/Data!B$17</f>
        <v/>
      </c>
      <c r="D20">
        <f>Data!C33/Data!C$17</f>
        <v/>
      </c>
      <c r="E20">
        <f>Data!D33/Data!D$17</f>
        <v/>
      </c>
      <c r="F20">
        <f>Data!E33/Data!E$17</f>
        <v/>
      </c>
      <c r="G20">
        <f>Data!F33/Data!F$17</f>
        <v/>
      </c>
      <c r="H20">
        <f>Data!G33/Data!G$17</f>
        <v/>
      </c>
      <c r="I20">
        <f>Data!H33/Data!H$17</f>
        <v/>
      </c>
      <c r="J20">
        <f>Data!I33/Data!I$17</f>
        <v/>
      </c>
      <c r="K20">
        <f>Data!J33/Data!J$17</f>
        <v/>
      </c>
      <c r="L20">
        <f>Data!K33/Data!K$17</f>
        <v/>
      </c>
    </row>
    <row r="22">
      <c r="B22" s="105">
        <f>"Common Size Balance Sheet For " &amp;Data!$B$1</f>
        <v/>
      </c>
    </row>
    <row r="23">
      <c r="B23" s="26" t="inlineStr">
        <is>
          <t>Year</t>
        </is>
      </c>
      <c r="C23" s="52" t="n">
        <v>42460</v>
      </c>
      <c r="D23" s="52" t="n">
        <v>42825</v>
      </c>
      <c r="E23" s="52" t="n">
        <v>43190</v>
      </c>
      <c r="F23" s="52" t="n">
        <v>43555</v>
      </c>
      <c r="G23" s="52" t="n">
        <v>43921</v>
      </c>
      <c r="H23" s="52" t="n">
        <v>44286</v>
      </c>
      <c r="I23" s="52" t="n">
        <v>44651</v>
      </c>
      <c r="J23" s="52" t="n">
        <v>45016</v>
      </c>
      <c r="K23" s="52" t="n">
        <v>45382</v>
      </c>
      <c r="L23" s="52" t="n">
        <v>45747</v>
      </c>
    </row>
    <row r="24">
      <c r="B24" s="93" t="n"/>
      <c r="C24" s="94" t="n"/>
      <c r="D24" s="94" t="n"/>
      <c r="E24" s="94" t="n"/>
      <c r="F24" s="94" t="n"/>
      <c r="G24" s="94" t="n"/>
      <c r="H24" s="94" t="n"/>
      <c r="I24" s="94" t="n"/>
      <c r="J24" s="94" t="n"/>
      <c r="K24" s="94" t="n"/>
      <c r="L24" s="94" t="n"/>
    </row>
    <row r="25">
      <c r="B25" s="116">
        <f>Data!A57</f>
        <v/>
      </c>
      <c r="C25">
        <f>Data!B57/Data!B$61</f>
        <v/>
      </c>
      <c r="D25">
        <f>Data!C57/Data!C$61</f>
        <v/>
      </c>
      <c r="E25">
        <f>Data!D57/Data!D$61</f>
        <v/>
      </c>
      <c r="F25">
        <f>Data!E57/Data!E$61</f>
        <v/>
      </c>
      <c r="G25">
        <f>Data!F57/Data!F$61</f>
        <v/>
      </c>
      <c r="H25">
        <f>Data!G57/Data!G$61</f>
        <v/>
      </c>
      <c r="I25">
        <f>Data!H57/Data!H$61</f>
        <v/>
      </c>
      <c r="J25">
        <f>Data!I57/Data!I$61</f>
        <v/>
      </c>
      <c r="K25">
        <f>Data!J57/Data!J$61</f>
        <v/>
      </c>
      <c r="L25">
        <f>Data!K57/Data!K$61</f>
        <v/>
      </c>
    </row>
    <row r="26">
      <c r="B26" s="116">
        <f>Data!A58</f>
        <v/>
      </c>
      <c r="C26">
        <f>Data!B58/Data!B$61</f>
        <v/>
      </c>
      <c r="D26">
        <f>Data!C58/Data!C$61</f>
        <v/>
      </c>
      <c r="E26">
        <f>Data!D58/Data!D$61</f>
        <v/>
      </c>
      <c r="F26">
        <f>Data!E58/Data!E$61</f>
        <v/>
      </c>
      <c r="G26">
        <f>Data!F58/Data!F$61</f>
        <v/>
      </c>
      <c r="H26">
        <f>Data!G58/Data!G$61</f>
        <v/>
      </c>
      <c r="I26">
        <f>Data!H58/Data!H$61</f>
        <v/>
      </c>
      <c r="J26">
        <f>Data!I58/Data!I$61</f>
        <v/>
      </c>
      <c r="K26">
        <f>Data!J58/Data!J$61</f>
        <v/>
      </c>
      <c r="L26">
        <f>Data!K58/Data!K$61</f>
        <v/>
      </c>
    </row>
    <row r="27">
      <c r="B27" s="116">
        <f>Data!A59</f>
        <v/>
      </c>
      <c r="C27">
        <f>Data!B59/Data!B$61</f>
        <v/>
      </c>
      <c r="D27">
        <f>Data!C59/Data!C$61</f>
        <v/>
      </c>
      <c r="E27">
        <f>Data!D59/Data!D$61</f>
        <v/>
      </c>
      <c r="F27">
        <f>Data!E59/Data!E$61</f>
        <v/>
      </c>
      <c r="G27">
        <f>Data!F59/Data!F$61</f>
        <v/>
      </c>
      <c r="H27">
        <f>Data!G59/Data!G$61</f>
        <v/>
      </c>
      <c r="I27">
        <f>Data!H59/Data!H$61</f>
        <v/>
      </c>
      <c r="J27">
        <f>Data!I59/Data!I$61</f>
        <v/>
      </c>
      <c r="K27">
        <f>Data!J59/Data!J$61</f>
        <v/>
      </c>
      <c r="L27">
        <f>Data!K59/Data!K$61</f>
        <v/>
      </c>
    </row>
    <row r="28">
      <c r="B28" s="116">
        <f>Data!A60</f>
        <v/>
      </c>
      <c r="C28">
        <f>Data!B60/Data!B$61</f>
        <v/>
      </c>
      <c r="D28">
        <f>Data!C60/Data!C$61</f>
        <v/>
      </c>
      <c r="E28">
        <f>Data!D60/Data!D$61</f>
        <v/>
      </c>
      <c r="F28">
        <f>Data!E60/Data!E$61</f>
        <v/>
      </c>
      <c r="G28">
        <f>Data!F60/Data!F$61</f>
        <v/>
      </c>
      <c r="H28">
        <f>Data!G60/Data!G$61</f>
        <v/>
      </c>
      <c r="I28">
        <f>Data!H60/Data!H$61</f>
        <v/>
      </c>
      <c r="J28">
        <f>Data!I60/Data!I$61</f>
        <v/>
      </c>
      <c r="K28">
        <f>Data!J60/Data!J$61</f>
        <v/>
      </c>
      <c r="L28">
        <f>Data!K60/Data!K$61</f>
        <v/>
      </c>
    </row>
    <row r="29" ht="15" customHeight="1" thickBot="1">
      <c r="B29" s="116" t="n"/>
    </row>
    <row r="30" ht="15" customHeight="1" thickBot="1">
      <c r="B30" s="117">
        <f>Data!A61 &amp; " Liabilities"</f>
        <v/>
      </c>
      <c r="C30" s="92">
        <f>Data!B61/Data!B$61</f>
        <v/>
      </c>
      <c r="D30" s="92">
        <f>Data!C61/Data!C$61</f>
        <v/>
      </c>
      <c r="E30" s="92">
        <f>Data!D61/Data!D$61</f>
        <v/>
      </c>
      <c r="F30" s="92">
        <f>Data!E61/Data!E$61</f>
        <v/>
      </c>
      <c r="G30" s="92">
        <f>Data!F61/Data!F$61</f>
        <v/>
      </c>
      <c r="H30" s="92">
        <f>Data!G61/Data!G$61</f>
        <v/>
      </c>
      <c r="I30" s="92">
        <f>Data!H61/Data!H$61</f>
        <v/>
      </c>
      <c r="J30" s="92">
        <f>Data!I61/Data!I$61</f>
        <v/>
      </c>
      <c r="K30" s="92">
        <f>Data!J61/Data!J$61</f>
        <v/>
      </c>
      <c r="L30" s="92">
        <f>Data!K61/Data!K$61</f>
        <v/>
      </c>
    </row>
    <row r="31">
      <c r="B31" s="116" t="n"/>
    </row>
    <row r="32">
      <c r="B32" s="116">
        <f>Data!A62</f>
        <v/>
      </c>
      <c r="C32">
        <f>Data!B62/Data!B$66</f>
        <v/>
      </c>
      <c r="D32">
        <f>Data!C62/Data!C$66</f>
        <v/>
      </c>
      <c r="E32">
        <f>Data!D62/Data!D$66</f>
        <v/>
      </c>
      <c r="F32">
        <f>Data!E62/Data!E$66</f>
        <v/>
      </c>
      <c r="G32">
        <f>Data!F62/Data!F$66</f>
        <v/>
      </c>
      <c r="H32">
        <f>Data!G62/Data!G$66</f>
        <v/>
      </c>
      <c r="I32">
        <f>Data!H62/Data!H$66</f>
        <v/>
      </c>
      <c r="J32">
        <f>Data!I62/Data!I$66</f>
        <v/>
      </c>
      <c r="K32">
        <f>Data!J62/Data!J$66</f>
        <v/>
      </c>
      <c r="L32">
        <f>Data!K62/Data!K$66</f>
        <v/>
      </c>
    </row>
    <row r="33">
      <c r="B33" s="116">
        <f>Data!A63</f>
        <v/>
      </c>
      <c r="C33">
        <f>Data!B63/Data!B$66</f>
        <v/>
      </c>
      <c r="D33">
        <f>Data!C63/Data!C$66</f>
        <v/>
      </c>
      <c r="E33">
        <f>Data!D63/Data!D$66</f>
        <v/>
      </c>
      <c r="F33">
        <f>Data!E63/Data!E$66</f>
        <v/>
      </c>
      <c r="G33">
        <f>Data!F63/Data!F$66</f>
        <v/>
      </c>
      <c r="H33">
        <f>Data!G63/Data!G$66</f>
        <v/>
      </c>
      <c r="I33">
        <f>Data!H63/Data!H$66</f>
        <v/>
      </c>
      <c r="J33">
        <f>Data!I63/Data!I$66</f>
        <v/>
      </c>
      <c r="K33">
        <f>Data!J63/Data!J$66</f>
        <v/>
      </c>
      <c r="L33">
        <f>Data!K63/Data!K$66</f>
        <v/>
      </c>
    </row>
    <row r="34">
      <c r="B34" s="116">
        <f>Data!A64</f>
        <v/>
      </c>
      <c r="C34">
        <f>Data!B64/Data!B$66</f>
        <v/>
      </c>
      <c r="D34">
        <f>Data!C64/Data!C$66</f>
        <v/>
      </c>
      <c r="E34">
        <f>Data!D64/Data!D$66</f>
        <v/>
      </c>
      <c r="F34">
        <f>Data!E64/Data!E$66</f>
        <v/>
      </c>
      <c r="G34">
        <f>Data!F64/Data!F$66</f>
        <v/>
      </c>
      <c r="H34">
        <f>Data!G64/Data!G$66</f>
        <v/>
      </c>
      <c r="I34">
        <f>Data!H64/Data!H$66</f>
        <v/>
      </c>
      <c r="J34">
        <f>Data!I64/Data!I$66</f>
        <v/>
      </c>
      <c r="K34">
        <f>Data!J64/Data!J$66</f>
        <v/>
      </c>
      <c r="L34">
        <f>Data!K64/Data!K$66</f>
        <v/>
      </c>
    </row>
    <row r="35">
      <c r="B35" s="116">
        <f>Data!A65</f>
        <v/>
      </c>
      <c r="C35" s="116">
        <f>Data!B74/Data!B$66</f>
        <v/>
      </c>
      <c r="D35" s="116">
        <f>Data!C74/Data!C$66</f>
        <v/>
      </c>
      <c r="E35" s="116">
        <f>Data!D74/Data!D$66</f>
        <v/>
      </c>
      <c r="F35" s="116">
        <f>Data!E74/Data!E$66</f>
        <v/>
      </c>
      <c r="G35" s="116">
        <f>Data!F74/Data!F$66</f>
        <v/>
      </c>
      <c r="H35" s="116">
        <f>Data!G74/Data!G$66</f>
        <v/>
      </c>
      <c r="I35" s="116">
        <f>Data!H74/Data!H$66</f>
        <v/>
      </c>
      <c r="J35" s="116">
        <f>Data!I74/Data!I$66</f>
        <v/>
      </c>
      <c r="K35" s="116">
        <f>Data!J74/Data!J$66</f>
        <v/>
      </c>
      <c r="L35" s="116">
        <f>Data!K74/Data!K$66</f>
        <v/>
      </c>
    </row>
    <row r="36">
      <c r="B36" s="116">
        <f>Data!A67</f>
        <v/>
      </c>
      <c r="C36">
        <f>Data!B67/Data!B$66</f>
        <v/>
      </c>
      <c r="D36">
        <f>Data!C67/Data!C$66</f>
        <v/>
      </c>
      <c r="E36">
        <f>Data!D67/Data!D$66</f>
        <v/>
      </c>
      <c r="F36">
        <f>Data!E67/Data!E$66</f>
        <v/>
      </c>
      <c r="G36">
        <f>Data!F67/Data!F$66</f>
        <v/>
      </c>
      <c r="H36">
        <f>Data!G67/Data!G$66</f>
        <v/>
      </c>
      <c r="I36">
        <f>Data!H67/Data!H$66</f>
        <v/>
      </c>
      <c r="J36">
        <f>Data!I67/Data!I$66</f>
        <v/>
      </c>
      <c r="K36">
        <f>Data!J67/Data!J$66</f>
        <v/>
      </c>
      <c r="L36">
        <f>Data!K67/Data!K$66</f>
        <v/>
      </c>
    </row>
    <row r="37">
      <c r="B37" s="116">
        <f>Data!A68</f>
        <v/>
      </c>
      <c r="C37">
        <f>Data!B68/Data!B$66</f>
        <v/>
      </c>
      <c r="D37">
        <f>Data!C68/Data!C$66</f>
        <v/>
      </c>
      <c r="E37">
        <f>Data!D68/Data!D$66</f>
        <v/>
      </c>
      <c r="F37">
        <f>Data!E68/Data!E$66</f>
        <v/>
      </c>
      <c r="G37">
        <f>Data!F68/Data!F$66</f>
        <v/>
      </c>
      <c r="H37">
        <f>Data!G68/Data!G$66</f>
        <v/>
      </c>
      <c r="I37">
        <f>Data!H68/Data!H$66</f>
        <v/>
      </c>
      <c r="J37">
        <f>Data!I68/Data!I$66</f>
        <v/>
      </c>
      <c r="K37">
        <f>Data!J68/Data!J$66</f>
        <v/>
      </c>
      <c r="L37">
        <f>Data!K68/Data!K$66</f>
        <v/>
      </c>
    </row>
    <row r="38">
      <c r="B38" s="116">
        <f>Data!A69</f>
        <v/>
      </c>
      <c r="C38">
        <f>Data!B69/Data!B$66</f>
        <v/>
      </c>
      <c r="D38">
        <f>Data!C69/Data!C$66</f>
        <v/>
      </c>
      <c r="E38">
        <f>Data!D69/Data!D$66</f>
        <v/>
      </c>
      <c r="F38">
        <f>Data!E69/Data!E$66</f>
        <v/>
      </c>
      <c r="G38">
        <f>Data!F69/Data!F$66</f>
        <v/>
      </c>
      <c r="H38">
        <f>Data!G69/Data!G$66</f>
        <v/>
      </c>
      <c r="I38">
        <f>Data!H69/Data!H$66</f>
        <v/>
      </c>
      <c r="J38">
        <f>Data!I69/Data!I$66</f>
        <v/>
      </c>
      <c r="K38">
        <f>Data!J69/Data!J$66</f>
        <v/>
      </c>
      <c r="L38">
        <f>Data!K69/Data!K$66</f>
        <v/>
      </c>
    </row>
    <row r="39" ht="15" customHeight="1" thickBot="1"/>
    <row r="40" ht="15" customHeight="1" thickBot="1">
      <c r="B40" s="117">
        <f>Data!A66 &amp; " Assets"</f>
        <v/>
      </c>
      <c r="C40" s="92">
        <f>Data!B66/Data!B66</f>
        <v/>
      </c>
      <c r="D40" s="92">
        <f>Data!C66/Data!C66</f>
        <v/>
      </c>
      <c r="E40" s="92">
        <f>Data!D66/Data!D66</f>
        <v/>
      </c>
      <c r="F40" s="92">
        <f>Data!E66/Data!E66</f>
        <v/>
      </c>
      <c r="G40" s="92">
        <f>Data!F66/Data!F66</f>
        <v/>
      </c>
      <c r="H40" s="92">
        <f>Data!G66/Data!G66</f>
        <v/>
      </c>
      <c r="I40" s="92">
        <f>Data!H66/Data!H66</f>
        <v/>
      </c>
      <c r="J40" s="92">
        <f>Data!I66/Data!I66</f>
        <v/>
      </c>
      <c r="K40" s="92">
        <f>Data!J66/Data!J66</f>
        <v/>
      </c>
      <c r="L40" s="92">
        <f>Data!K66/Data!K66</f>
        <v/>
      </c>
    </row>
    <row r="42">
      <c r="B42" s="116" t="n"/>
    </row>
    <row r="43">
      <c r="B43" s="116" t="n"/>
    </row>
    <row r="44">
      <c r="B44" s="116" t="n"/>
    </row>
  </sheetData>
  <mergeCells count="2">
    <mergeCell ref="B2:L2"/>
    <mergeCell ref="B22:L2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B2:Q22"/>
  <sheetViews>
    <sheetView showGridLines="0" topLeftCell="B2" zoomScale="84" workbookViewId="0">
      <selection activeCell="D5" sqref="D5"/>
    </sheetView>
  </sheetViews>
  <sheetFormatPr baseColWidth="8" defaultRowHeight="14.4"/>
  <cols>
    <col width="1.88671875" customWidth="1" min="1" max="1"/>
    <col width="24.5546875" bestFit="1" customWidth="1" min="2" max="2"/>
    <col width="10.109375" bestFit="1" customWidth="1" min="4" max="4"/>
    <col width="16.21875" bestFit="1" customWidth="1" min="5" max="5"/>
    <col width="10.5546875" bestFit="1" customWidth="1" min="6" max="6"/>
    <col width="8.44140625" bestFit="1" customWidth="1" min="7" max="7"/>
    <col width="11.5546875" bestFit="1" customWidth="1" min="15" max="15"/>
    <col width="10.5546875" bestFit="1" customWidth="1" min="16" max="16"/>
    <col width="12" bestFit="1" customWidth="1" min="17" max="17"/>
  </cols>
  <sheetData>
    <row r="2">
      <c r="B2" s="105">
        <f>"Comp Analysis for " &amp; Data!B1</f>
        <v/>
      </c>
    </row>
    <row r="3" ht="15" customHeight="1" thickBot="1">
      <c r="B3" s="80" t="n"/>
      <c r="C3" s="79" t="n"/>
      <c r="D3" s="105" t="inlineStr">
        <is>
          <t>Market Data</t>
        </is>
      </c>
      <c r="G3" s="105" t="n"/>
      <c r="H3" s="105" t="n"/>
      <c r="I3" s="79" t="n"/>
      <c r="J3" s="105" t="inlineStr">
        <is>
          <t>Financials</t>
        </is>
      </c>
      <c r="N3" s="79" t="n"/>
      <c r="O3" s="105" t="inlineStr">
        <is>
          <t>Valuationa</t>
        </is>
      </c>
    </row>
    <row r="4" ht="15" customHeight="1" thickTop="1">
      <c r="B4" s="80" t="inlineStr">
        <is>
          <t>Name</t>
        </is>
      </c>
      <c r="C4" s="80" t="n"/>
      <c r="D4" s="95" t="inlineStr">
        <is>
          <t>share price</t>
        </is>
      </c>
      <c r="E4" s="95" t="inlineStr">
        <is>
          <t>share outstanding</t>
        </is>
      </c>
      <c r="F4" s="95" t="inlineStr">
        <is>
          <t>Market cap</t>
        </is>
      </c>
      <c r="G4" s="95" t="inlineStr">
        <is>
          <t>Net Debt</t>
        </is>
      </c>
      <c r="H4" s="95" t="inlineStr">
        <is>
          <t>enterprise value</t>
        </is>
      </c>
      <c r="I4" s="80" t="n"/>
      <c r="J4" s="95" t="inlineStr">
        <is>
          <t>revenue</t>
        </is>
      </c>
      <c r="K4" s="95" t="inlineStr">
        <is>
          <t>EBITDA</t>
        </is>
      </c>
      <c r="L4" s="95" t="inlineStr">
        <is>
          <t>EBIT</t>
        </is>
      </c>
      <c r="M4" s="95" t="inlineStr">
        <is>
          <t>Earning/net income</t>
        </is>
      </c>
      <c r="N4" s="80" t="n"/>
      <c r="O4" s="95" t="inlineStr">
        <is>
          <t>EV/Revenue</t>
        </is>
      </c>
      <c r="P4" s="95" t="inlineStr">
        <is>
          <t>EV/EBITDA</t>
        </is>
      </c>
      <c r="Q4" s="95" t="inlineStr">
        <is>
          <t>P/E</t>
        </is>
      </c>
    </row>
    <row r="5">
      <c r="B5" s="116">
        <f>Data!B1</f>
        <v/>
      </c>
      <c r="D5" s="97" t="n">
        <v>378.5</v>
      </c>
      <c r="E5" s="97" t="n">
        <v>319.53</v>
      </c>
      <c r="F5" s="96">
        <f>D5*E5</f>
        <v/>
      </c>
      <c r="G5" s="96">
        <f>'Historical data'!L38-'Historical data'!L55</f>
        <v/>
      </c>
      <c r="H5" s="96">
        <f>SUM(F5:G5)</f>
        <v/>
      </c>
      <c r="J5">
        <f>Data!K17</f>
        <v/>
      </c>
      <c r="K5">
        <f>'Historical data'!L17</f>
        <v/>
      </c>
      <c r="L5">
        <f>'Historical data'!L22</f>
        <v/>
      </c>
      <c r="M5">
        <f>'Historical data'!L32</f>
        <v/>
      </c>
      <c r="O5" s="99">
        <f>H5/J5</f>
        <v/>
      </c>
      <c r="P5" s="99">
        <f>H5/K5</f>
        <v/>
      </c>
      <c r="Q5" s="99">
        <f>F5/M5</f>
        <v/>
      </c>
    </row>
    <row r="6">
      <c r="B6" t="inlineStr">
        <is>
          <t>NTPC</t>
        </is>
      </c>
      <c r="D6" s="97" t="n">
        <v>347.25</v>
      </c>
      <c r="E6" s="97" t="n">
        <v>973</v>
      </c>
      <c r="F6" s="96">
        <f>D6*E6</f>
        <v/>
      </c>
      <c r="G6" s="97" t="n">
        <v>237023</v>
      </c>
      <c r="H6" s="96">
        <f>SUM(F6:G6)</f>
        <v/>
      </c>
      <c r="J6" s="100" t="n">
        <v>187385</v>
      </c>
      <c r="K6" s="100" t="n">
        <v>54654</v>
      </c>
      <c r="L6" s="100" t="n">
        <v>41650</v>
      </c>
      <c r="M6" s="100" t="n">
        <v>27546</v>
      </c>
      <c r="O6" s="99">
        <f>H6/J6</f>
        <v/>
      </c>
      <c r="P6" s="99">
        <f>H6/K6</f>
        <v/>
      </c>
      <c r="Q6" s="99">
        <f>F6/M6</f>
        <v/>
      </c>
    </row>
    <row r="7">
      <c r="B7" t="inlineStr">
        <is>
          <t>Adani Power</t>
        </is>
      </c>
      <c r="D7" s="98" t="n">
        <v>218.5</v>
      </c>
      <c r="E7" s="97" t="n">
        <v>1946</v>
      </c>
      <c r="F7" s="96">
        <f>D7*E7</f>
        <v/>
      </c>
      <c r="G7" s="97" t="n">
        <v>45022</v>
      </c>
      <c r="H7" s="96">
        <f>SUM(F7:G7)</f>
        <v/>
      </c>
      <c r="J7" s="100" t="n">
        <v>54241</v>
      </c>
      <c r="K7" s="100" t="n">
        <v>21285</v>
      </c>
      <c r="L7" s="100" t="n">
        <v>14500</v>
      </c>
      <c r="M7" s="100" t="n">
        <v>12971</v>
      </c>
      <c r="O7" s="99">
        <f>H7/J7</f>
        <v/>
      </c>
      <c r="P7" s="99">
        <f>H7/K7</f>
        <v/>
      </c>
      <c r="Q7" s="99">
        <f>F7/M7</f>
        <v/>
      </c>
    </row>
    <row r="8">
      <c r="B8" t="inlineStr">
        <is>
          <t>JSW Energy</t>
        </is>
      </c>
      <c r="D8" s="98" t="n">
        <v>550.2</v>
      </c>
      <c r="E8" s="97" t="n">
        <v>188.6</v>
      </c>
      <c r="F8" s="96">
        <f>D8*E8</f>
        <v/>
      </c>
      <c r="G8" s="97" t="n">
        <v>57413</v>
      </c>
      <c r="H8" s="96">
        <f>SUM(F8:G8)</f>
        <v/>
      </c>
      <c r="J8" s="100" t="n">
        <v>18901</v>
      </c>
      <c r="K8" s="100" t="n">
        <v>11041</v>
      </c>
      <c r="L8" s="100" t="n">
        <v>8000</v>
      </c>
      <c r="M8" s="100" t="n">
        <v>2762</v>
      </c>
      <c r="O8" s="99">
        <f>H8/J8</f>
        <v/>
      </c>
      <c r="P8" s="99">
        <f>H8/K8</f>
        <v/>
      </c>
      <c r="Q8" s="99">
        <f>F8/M8</f>
        <v/>
      </c>
    </row>
    <row r="10">
      <c r="B10" t="inlineStr">
        <is>
          <t>High</t>
        </is>
      </c>
      <c r="O10" s="99">
        <f>MAX(O5:O8)</f>
        <v/>
      </c>
      <c r="P10" s="99">
        <f>MAX(P5:P8)</f>
        <v/>
      </c>
      <c r="Q10" s="99">
        <f>MAX(Q5:Q8)</f>
        <v/>
      </c>
    </row>
    <row r="11">
      <c r="B11" t="inlineStr">
        <is>
          <t>third quartile</t>
        </is>
      </c>
      <c r="O11" s="99">
        <f>QUARTILE(O5:O8,3)</f>
        <v/>
      </c>
      <c r="P11" s="99">
        <f>QUARTILE(P5:P8,3)</f>
        <v/>
      </c>
      <c r="Q11" s="99">
        <f>QUARTILE(Q5:Q8,3)</f>
        <v/>
      </c>
    </row>
    <row r="12">
      <c r="B12" t="inlineStr">
        <is>
          <t>median</t>
        </is>
      </c>
      <c r="O12" s="99">
        <f>MEDIAN(O5:O8)</f>
        <v/>
      </c>
      <c r="P12" s="99">
        <f>MEDIAN(P5:P8)</f>
        <v/>
      </c>
      <c r="Q12" s="99">
        <f>MEDIAN(Q5:Q8)</f>
        <v/>
      </c>
    </row>
    <row r="13">
      <c r="B13" t="inlineStr">
        <is>
          <t>average</t>
        </is>
      </c>
      <c r="O13" s="99">
        <f>AVERAGE(O5:O8)</f>
        <v/>
      </c>
      <c r="P13" s="99">
        <f>AVERAGE(P5:P8)</f>
        <v/>
      </c>
      <c r="Q13" s="99">
        <f>AVERAGE(Q5:Q8)</f>
        <v/>
      </c>
    </row>
    <row r="14">
      <c r="B14" t="inlineStr">
        <is>
          <t>first quartile</t>
        </is>
      </c>
      <c r="O14" s="99">
        <f>QUARTILE(O5:O8,1)</f>
        <v/>
      </c>
      <c r="P14" s="99">
        <f>QUARTILE(P5:P8,1)</f>
        <v/>
      </c>
      <c r="Q14" s="99">
        <f>QUARTILE(Q5:Q8,1)</f>
        <v/>
      </c>
    </row>
    <row r="15">
      <c r="B15" t="inlineStr">
        <is>
          <t>low</t>
        </is>
      </c>
      <c r="O15" s="99">
        <f>MIN(O5:O8)</f>
        <v/>
      </c>
      <c r="P15" s="99">
        <f>MIN(P5:P8)</f>
        <v/>
      </c>
      <c r="Q15" s="99">
        <f>MIN(Q5:Q8)</f>
        <v/>
      </c>
    </row>
    <row r="16" ht="15" customHeight="1" thickBot="1"/>
    <row r="17" ht="15" customHeight="1" thickTop="1">
      <c r="B17" s="116">
        <f>B5</f>
        <v/>
      </c>
      <c r="O17" s="95" t="inlineStr">
        <is>
          <t>EV/Revenue</t>
        </is>
      </c>
      <c r="P17" s="95" t="inlineStr">
        <is>
          <t>EV/EBITDA</t>
        </is>
      </c>
      <c r="Q17" s="95" t="inlineStr">
        <is>
          <t>P/E</t>
        </is>
      </c>
    </row>
    <row r="18">
      <c r="B18" t="inlineStr">
        <is>
          <t>implied enterprise value</t>
        </is>
      </c>
      <c r="O18">
        <f>$J$5*O12</f>
        <v/>
      </c>
      <c r="P18">
        <f>$K$5*P12</f>
        <v/>
      </c>
    </row>
    <row r="19">
      <c r="B19" t="inlineStr">
        <is>
          <t>Net debt</t>
        </is>
      </c>
      <c r="O19" s="96">
        <f>$G$5</f>
        <v/>
      </c>
      <c r="P19" s="96">
        <f>$G$5</f>
        <v/>
      </c>
      <c r="Q19" s="96" t="n"/>
    </row>
    <row r="20">
      <c r="B20" t="inlineStr">
        <is>
          <t>implied market value</t>
        </is>
      </c>
      <c r="O20" s="96">
        <f>O18-O19</f>
        <v/>
      </c>
      <c r="P20" s="96">
        <f>P18-P19</f>
        <v/>
      </c>
      <c r="Q20" s="96">
        <f>$M$5*Q12</f>
        <v/>
      </c>
    </row>
    <row r="21">
      <c r="B21" t="inlineStr">
        <is>
          <t>shares outstanding</t>
        </is>
      </c>
      <c r="O21" s="96">
        <f>$E$5</f>
        <v/>
      </c>
      <c r="P21" s="96">
        <f>$E$5</f>
        <v/>
      </c>
      <c r="Q21" s="96">
        <f>$E$5</f>
        <v/>
      </c>
    </row>
    <row r="22">
      <c r="B22" s="101" t="inlineStr">
        <is>
          <t>implied value per share</t>
        </is>
      </c>
      <c r="C22" s="101" t="n"/>
      <c r="D22" s="101" t="n"/>
      <c r="E22" s="101" t="n"/>
      <c r="F22" s="101" t="n"/>
      <c r="G22" s="101" t="n"/>
      <c r="H22" s="101" t="n"/>
      <c r="I22" s="101" t="n"/>
      <c r="J22" s="101" t="n"/>
      <c r="K22" s="101" t="n"/>
      <c r="L22" s="101" t="n"/>
      <c r="M22" s="101" t="n"/>
      <c r="N22" s="101" t="n"/>
      <c r="O22" s="101">
        <f>O20/O21</f>
        <v/>
      </c>
      <c r="P22" s="101">
        <f>P20/P21</f>
        <v/>
      </c>
      <c r="Q22" s="101">
        <f>Q20/Q21</f>
        <v/>
      </c>
    </row>
  </sheetData>
  <mergeCells count="4">
    <mergeCell ref="B2:Q2"/>
    <mergeCell ref="D3:F3"/>
    <mergeCell ref="O3:Q3"/>
    <mergeCell ref="J3:M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B2:D18"/>
  <sheetViews>
    <sheetView showGridLines="0" zoomScale="64" workbookViewId="0">
      <selection activeCell="H36" sqref="H36"/>
    </sheetView>
  </sheetViews>
  <sheetFormatPr baseColWidth="8" defaultRowHeight="14.4"/>
  <cols>
    <col width="1.88671875" customWidth="1" min="1" max="1"/>
    <col width="10.33203125" bestFit="1" customWidth="1" style="20" min="2" max="2"/>
  </cols>
  <sheetData>
    <row r="2">
      <c r="B2" s="20">
        <f>"Trend Analysis for "&amp;Data!B1</f>
        <v/>
      </c>
    </row>
    <row r="3">
      <c r="B3" s="20" t="inlineStr">
        <is>
          <t>year</t>
        </is>
      </c>
      <c r="C3" t="inlineStr">
        <is>
          <t>Revenue</t>
        </is>
      </c>
      <c r="D3" t="inlineStr">
        <is>
          <t>YoYGrowth</t>
        </is>
      </c>
    </row>
    <row r="4">
      <c r="B4" s="102">
        <f t="array" ref="B4:B18">TRANSPOSE('Historical data'!C3:Q3)</f>
        <v/>
      </c>
      <c r="C4" s="71">
        <f t="array" ref="C4:C18">TRANSPOSE('Historical data'!C7:Q7)</f>
        <v/>
      </c>
      <c r="D4" t="n">
        <v>0</v>
      </c>
    </row>
    <row r="5">
      <c r="B5" s="102" t="n">
        <v>43190</v>
      </c>
      <c r="C5" s="71" t="n">
        <v>26840.27</v>
      </c>
      <c r="D5" s="77">
        <f>C5/C4-1</f>
        <v/>
      </c>
    </row>
    <row r="6">
      <c r="B6" s="102" t="n">
        <v>43555</v>
      </c>
      <c r="C6" s="71" t="n">
        <v>29881.06</v>
      </c>
      <c r="D6" s="77">
        <f>C6/C5-1</f>
        <v/>
      </c>
    </row>
    <row r="7">
      <c r="B7" s="102" t="n">
        <v>43921</v>
      </c>
      <c r="C7" s="71" t="n">
        <v>29136.37</v>
      </c>
      <c r="D7" s="77">
        <f>C7/C6-1</f>
        <v/>
      </c>
    </row>
    <row r="8">
      <c r="B8" s="102" t="n">
        <v>44286</v>
      </c>
      <c r="C8" s="71" t="n">
        <v>32703.31</v>
      </c>
      <c r="D8" s="77">
        <f>C8/C7-1</f>
        <v/>
      </c>
    </row>
    <row r="9">
      <c r="B9" s="102" t="n">
        <v>44651</v>
      </c>
      <c r="C9" s="71" t="n">
        <v>42815.67</v>
      </c>
      <c r="D9" s="77">
        <f>C9/C8-1</f>
        <v/>
      </c>
    </row>
    <row r="10">
      <c r="B10" s="102" t="n">
        <v>45016</v>
      </c>
      <c r="C10" s="71" t="n">
        <v>55109.08</v>
      </c>
      <c r="D10" s="77">
        <f>C10/C9-1</f>
        <v/>
      </c>
    </row>
    <row r="11">
      <c r="B11" s="102" t="n">
        <v>45382</v>
      </c>
      <c r="C11" s="71" t="n">
        <v>61448.9</v>
      </c>
      <c r="D11" s="77">
        <f>C11/C10-1</f>
        <v/>
      </c>
    </row>
    <row r="12">
      <c r="B12" s="102" t="n">
        <v>45747</v>
      </c>
      <c r="C12" s="71" t="n">
        <v>65478.24</v>
      </c>
      <c r="D12" s="77">
        <f>C12/C11-1</f>
        <v/>
      </c>
    </row>
    <row r="13">
      <c r="B13" s="102" t="n">
        <v>46112</v>
      </c>
      <c r="C13" s="71" t="n">
        <v>62428.59</v>
      </c>
      <c r="D13" s="77">
        <f>C13/C12-1</f>
        <v/>
      </c>
    </row>
    <row r="14">
      <c r="B14" s="103" t="n">
        <v>46477</v>
      </c>
      <c r="C14" s="71" t="n">
        <v>71000.77547067951</v>
      </c>
      <c r="D14" s="77">
        <f>C14/C13-1</f>
        <v/>
      </c>
    </row>
    <row r="15">
      <c r="B15" s="103" t="n">
        <v>46842</v>
      </c>
      <c r="C15" s="71" t="n">
        <v>76026.97493634932</v>
      </c>
      <c r="D15" s="77">
        <f>C15/C14-1</f>
        <v/>
      </c>
    </row>
    <row r="16">
      <c r="B16" s="103" t="n">
        <v>47207</v>
      </c>
      <c r="C16" s="71" t="n">
        <v>81053.17440201924</v>
      </c>
      <c r="D16" s="77">
        <f>C16/C15-1</f>
        <v/>
      </c>
    </row>
    <row r="17">
      <c r="B17" s="103" t="n">
        <v>47572</v>
      </c>
      <c r="C17" s="71" t="n">
        <v>86079.37386768917</v>
      </c>
      <c r="D17" s="77">
        <f>C17/C16-1</f>
        <v/>
      </c>
    </row>
    <row r="18">
      <c r="B18" s="103" t="n">
        <v>47937</v>
      </c>
      <c r="C18" s="71" t="n">
        <v>91105.57333335909</v>
      </c>
      <c r="D18" s="77">
        <f>C18/C17-1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K93"/>
  <sheetViews>
    <sheetView zoomScale="101" zoomScaleNormal="100" zoomScalePageLayoutView="120" workbookViewId="0">
      <pane xSplit="1" ySplit="1" topLeftCell="B79" activePane="bottomRight" state="frozen"/>
      <selection activeCell="C4" sqref="C4"/>
      <selection pane="topRight" activeCell="C4" sqref="C4"/>
      <selection pane="bottomLeft" activeCell="C4" sqref="C4"/>
      <selection pane="bottomRight" activeCell="D11" sqref="D11"/>
    </sheetView>
  </sheetViews>
  <sheetFormatPr baseColWidth="8" defaultColWidth="8.77734375" defaultRowHeight="14.4"/>
  <cols>
    <col width="27.6640625" bestFit="1" customWidth="1" style="114" min="1" max="1"/>
    <col width="13.44140625" bestFit="1" customWidth="1" style="114" min="2" max="11"/>
    <col width="8.77734375" customWidth="1" style="114" min="12" max="16384"/>
  </cols>
  <sheetData>
    <row r="1" customFormat="1" s="108">
      <c r="A1" s="108" t="inlineStr">
        <is>
          <t>COMPANY NAME</t>
        </is>
      </c>
      <c r="B1" s="108" t="inlineStr">
        <is>
          <t>TATA POWER COMPANY LTD</t>
        </is>
      </c>
      <c r="E1" s="118">
        <f>IF(B2&lt;&gt;B3, "A NEW VERSION OF THE WORKSHEET IS AVAILABLE", "")</f>
        <v/>
      </c>
    </row>
    <row r="2">
      <c r="A2" s="108" t="inlineStr">
        <is>
          <t>LATEST VERSION</t>
        </is>
      </c>
      <c r="B2" s="114" t="n">
        <v>2.1</v>
      </c>
      <c r="E2" s="119" t="inlineStr">
        <is>
          <t>PLEASE DO NOT MAKE ANY CHANGES TO THIS SHEET</t>
        </is>
      </c>
    </row>
    <row r="3">
      <c r="A3" s="108" t="inlineStr">
        <is>
          <t>CURRENT VERSION</t>
        </is>
      </c>
      <c r="B3" s="114" t="n">
        <v>2.1</v>
      </c>
    </row>
    <row r="4">
      <c r="A4" s="108" t="n"/>
    </row>
    <row r="5">
      <c r="A5" s="108" t="inlineStr">
        <is>
          <t>META</t>
        </is>
      </c>
    </row>
    <row r="6">
      <c r="A6" s="114" t="inlineStr">
        <is>
          <t>Number of shares</t>
        </is>
      </c>
      <c r="B6" s="114">
        <f>IF(B9&gt;0, B9/B8, 0)</f>
        <v/>
      </c>
    </row>
    <row r="7">
      <c r="A7" s="114" t="inlineStr">
        <is>
          <t>Face Value</t>
        </is>
      </c>
      <c r="B7" t="n">
        <v>1</v>
      </c>
    </row>
    <row r="8">
      <c r="A8" s="114" t="inlineStr">
        <is>
          <t>Current Price</t>
        </is>
      </c>
      <c r="B8" t="n">
        <v>378.5</v>
      </c>
    </row>
    <row r="9">
      <c r="A9" s="114" t="inlineStr">
        <is>
          <t>Market Capitalization</t>
        </is>
      </c>
      <c r="B9" t="n">
        <v>120943.69</v>
      </c>
    </row>
    <row r="15">
      <c r="A15" s="108" t="inlineStr">
        <is>
          <t>PROFIT &amp; LOSS</t>
        </is>
      </c>
    </row>
    <row r="16" customFormat="1" s="18">
      <c r="A16" s="17" t="inlineStr">
        <is>
          <t>Report Date</t>
        </is>
      </c>
      <c r="B16" s="12" t="n">
        <v>42825</v>
      </c>
      <c r="C16" s="12" t="n">
        <v>43190</v>
      </c>
      <c r="D16" s="12" t="n">
        <v>43555</v>
      </c>
      <c r="E16" s="12" t="n">
        <v>43921</v>
      </c>
      <c r="F16" s="12" t="n">
        <v>44286</v>
      </c>
      <c r="G16" s="12" t="n">
        <v>44651</v>
      </c>
      <c r="H16" s="12" t="n">
        <v>45016</v>
      </c>
      <c r="I16" s="12" t="n">
        <v>45382</v>
      </c>
      <c r="J16" s="12" t="n">
        <v>45747</v>
      </c>
      <c r="K16" s="12" t="n">
        <v>46112</v>
      </c>
    </row>
    <row r="17" customFormat="1" s="109">
      <c r="A17" s="109" t="inlineStr">
        <is>
          <t>Sales</t>
        </is>
      </c>
      <c r="B17" t="n">
        <v>27587.59</v>
      </c>
      <c r="C17" t="n">
        <v>26840.27</v>
      </c>
      <c r="D17" t="n">
        <v>29881.06</v>
      </c>
      <c r="E17" t="n">
        <v>29136.37</v>
      </c>
      <c r="F17" t="n">
        <v>32703.31</v>
      </c>
      <c r="G17" t="n">
        <v>42815.67</v>
      </c>
      <c r="H17" t="n">
        <v>55109.08</v>
      </c>
      <c r="I17" t="n">
        <v>61448.9</v>
      </c>
      <c r="J17" t="n">
        <v>65478.24</v>
      </c>
      <c r="K17" t="n">
        <v>62428.59</v>
      </c>
    </row>
    <row r="18" customFormat="1" s="109">
      <c r="A18" s="114" t="inlineStr">
        <is>
          <t>Raw Material Cost</t>
        </is>
      </c>
    </row>
    <row r="19" customFormat="1" s="109">
      <c r="A19" s="114" t="inlineStr">
        <is>
          <t>Change in Inventory</t>
        </is>
      </c>
      <c r="B19" t="n">
        <v>-28.34</v>
      </c>
      <c r="C19" t="n">
        <v>8.51</v>
      </c>
      <c r="D19" t="n">
        <v>-24.37</v>
      </c>
      <c r="E19" t="n">
        <v>15.64</v>
      </c>
      <c r="F19" t="n">
        <v>-0.41</v>
      </c>
      <c r="G19" t="n">
        <v>199.22</v>
      </c>
      <c r="H19" t="n">
        <v>-43.53</v>
      </c>
      <c r="I19" t="n">
        <v>51.78</v>
      </c>
      <c r="J19" t="n">
        <v>440.76</v>
      </c>
      <c r="K19" t="n">
        <v>84.11</v>
      </c>
    </row>
    <row r="20" customFormat="1" s="109">
      <c r="A20" s="114" t="inlineStr">
        <is>
          <t>Power and Fuel</t>
        </is>
      </c>
      <c r="B20" t="n">
        <v>17921.05</v>
      </c>
      <c r="C20" t="n">
        <v>16356.15</v>
      </c>
      <c r="D20" t="n">
        <v>18918.9</v>
      </c>
      <c r="E20" t="n">
        <v>17100.03</v>
      </c>
      <c r="F20" t="n">
        <v>20037.56</v>
      </c>
      <c r="G20" t="n">
        <v>26764.37</v>
      </c>
      <c r="H20" t="n">
        <v>36708.56</v>
      </c>
      <c r="I20" t="n">
        <v>39584.79</v>
      </c>
      <c r="J20" t="n">
        <v>39363.54</v>
      </c>
      <c r="K20" t="n">
        <v>35764.04</v>
      </c>
    </row>
    <row r="21" customFormat="1" s="109">
      <c r="A21" s="114" t="inlineStr">
        <is>
          <t>Other Mfr. Exp</t>
        </is>
      </c>
      <c r="B21" t="n">
        <v>1720.75</v>
      </c>
      <c r="C21" t="n">
        <v>2041.68</v>
      </c>
      <c r="D21" t="n">
        <v>2056.1</v>
      </c>
      <c r="E21" t="n">
        <v>2013.68</v>
      </c>
      <c r="F21" t="n">
        <v>2533.43</v>
      </c>
      <c r="G21" t="n">
        <v>3942.93</v>
      </c>
      <c r="H21" t="n">
        <v>5007.21</v>
      </c>
      <c r="I21" t="n">
        <v>5272.77</v>
      </c>
      <c r="J21" t="n">
        <v>6306.19</v>
      </c>
      <c r="K21" t="n">
        <v>6743.03</v>
      </c>
    </row>
    <row r="22" customFormat="1" s="109">
      <c r="A22" s="114" t="inlineStr">
        <is>
          <t>Employee Cost</t>
        </is>
      </c>
      <c r="B22" t="n">
        <v>1342.92</v>
      </c>
      <c r="C22" t="n">
        <v>1475</v>
      </c>
      <c r="D22" t="n">
        <v>1497.6</v>
      </c>
      <c r="E22" t="n">
        <v>1541.05</v>
      </c>
      <c r="F22" t="n">
        <v>2414.24</v>
      </c>
      <c r="G22" t="n">
        <v>3731.29</v>
      </c>
      <c r="H22" t="n">
        <v>3801.4</v>
      </c>
      <c r="I22" t="n">
        <v>4264.99</v>
      </c>
      <c r="J22" t="n">
        <v>4649.25</v>
      </c>
      <c r="K22" t="n">
        <v>5099.95</v>
      </c>
    </row>
    <row r="23" customFormat="1" s="109">
      <c r="A23" s="114" t="inlineStr">
        <is>
          <t>Selling and admin</t>
        </is>
      </c>
      <c r="B23" t="n">
        <v>481.89</v>
      </c>
      <c r="C23" t="n">
        <v>511.78</v>
      </c>
      <c r="D23" t="n">
        <v>466.39</v>
      </c>
      <c r="E23" t="n">
        <v>401.51</v>
      </c>
      <c r="F23" t="n">
        <v>523.9400000000001</v>
      </c>
      <c r="G23" t="n">
        <v>730.58</v>
      </c>
      <c r="H23" t="n">
        <v>1016.41</v>
      </c>
      <c r="I23" t="n">
        <v>1017.98</v>
      </c>
      <c r="J23" t="n">
        <v>1055.18</v>
      </c>
      <c r="K23" t="n">
        <v>1213.37</v>
      </c>
    </row>
    <row r="24" customFormat="1" s="109">
      <c r="A24" s="114" t="inlineStr">
        <is>
          <t>Other Expenses</t>
        </is>
      </c>
      <c r="B24" t="n">
        <v>619.37</v>
      </c>
      <c r="C24" t="n">
        <v>1457.02</v>
      </c>
      <c r="D24" t="n">
        <v>485.69</v>
      </c>
      <c r="E24" t="n">
        <v>1290.67</v>
      </c>
      <c r="F24" t="n">
        <v>272.83</v>
      </c>
      <c r="G24" t="n">
        <v>814.83</v>
      </c>
      <c r="H24" t="n">
        <v>804.21</v>
      </c>
      <c r="I24" t="n">
        <v>624.87</v>
      </c>
      <c r="J24" t="n">
        <v>2095.25</v>
      </c>
      <c r="K24" t="n">
        <v>421.04</v>
      </c>
    </row>
    <row r="25" customFormat="1" s="109">
      <c r="A25" s="109" t="inlineStr">
        <is>
          <t>Other Income</t>
        </is>
      </c>
      <c r="B25" t="n">
        <v>1297.37</v>
      </c>
      <c r="C25" t="n">
        <v>3873.32</v>
      </c>
      <c r="D25" t="n">
        <v>3824.37</v>
      </c>
      <c r="E25" t="n">
        <v>2280.15</v>
      </c>
      <c r="F25" t="n">
        <v>1774.96</v>
      </c>
      <c r="G25" t="n">
        <v>2485.5</v>
      </c>
      <c r="H25" t="n">
        <v>5540.09</v>
      </c>
      <c r="I25" t="n">
        <v>3416.33</v>
      </c>
      <c r="J25" t="n">
        <v>2689.33</v>
      </c>
      <c r="K25" t="n">
        <v>3432.6</v>
      </c>
    </row>
    <row r="26" customFormat="1" s="109">
      <c r="A26" s="109" t="inlineStr">
        <is>
          <t>Depreciation</t>
        </is>
      </c>
      <c r="B26" t="n">
        <v>1955.59</v>
      </c>
      <c r="C26" t="n">
        <v>2346.17</v>
      </c>
      <c r="D26" t="n">
        <v>2393.13</v>
      </c>
      <c r="E26" t="n">
        <v>2633.56</v>
      </c>
      <c r="F26" t="n">
        <v>2744.94</v>
      </c>
      <c r="G26" t="n">
        <v>3122.2</v>
      </c>
      <c r="H26" t="n">
        <v>3439.2</v>
      </c>
      <c r="I26" t="n">
        <v>3786.37</v>
      </c>
      <c r="J26" t="n">
        <v>4116.86</v>
      </c>
      <c r="K26" t="n">
        <v>4811.09</v>
      </c>
    </row>
    <row r="27" customFormat="1" s="109">
      <c r="A27" s="109" t="inlineStr">
        <is>
          <t>Interest</t>
        </is>
      </c>
      <c r="B27" t="n">
        <v>3364.96</v>
      </c>
      <c r="C27" t="n">
        <v>3761.48</v>
      </c>
      <c r="D27" t="n">
        <v>4170</v>
      </c>
      <c r="E27" t="n">
        <v>4493.73</v>
      </c>
      <c r="F27" t="n">
        <v>4010.39</v>
      </c>
      <c r="G27" t="n">
        <v>3859.02</v>
      </c>
      <c r="H27" t="n">
        <v>4371.65</v>
      </c>
      <c r="I27" t="n">
        <v>4633.22</v>
      </c>
      <c r="J27" t="n">
        <v>4702.44</v>
      </c>
      <c r="K27" t="n">
        <v>5256.79</v>
      </c>
    </row>
    <row r="28" customFormat="1" s="109">
      <c r="A28" s="109" t="inlineStr">
        <is>
          <t>Profit before tax</t>
        </is>
      </c>
      <c r="B28" t="n">
        <v>1450.09</v>
      </c>
      <c r="C28" t="n">
        <v>2772.82</v>
      </c>
      <c r="D28" t="n">
        <v>3693.25</v>
      </c>
      <c r="E28" t="n">
        <v>1957.93</v>
      </c>
      <c r="F28" t="n">
        <v>1940.53</v>
      </c>
      <c r="G28" t="n">
        <v>2535.17</v>
      </c>
      <c r="H28" t="n">
        <v>5457</v>
      </c>
      <c r="I28" t="n">
        <v>5732.02</v>
      </c>
      <c r="J28" t="n">
        <v>6319.62</v>
      </c>
      <c r="K28" t="n">
        <v>6635.99</v>
      </c>
    </row>
    <row r="29" customFormat="1" s="109">
      <c r="A29" s="109" t="inlineStr">
        <is>
          <t>Tax</t>
        </is>
      </c>
      <c r="B29" t="n">
        <v>350.46</v>
      </c>
      <c r="C29" t="n">
        <v>161.97</v>
      </c>
      <c r="D29" t="n">
        <v>1087.59</v>
      </c>
      <c r="E29" t="n">
        <v>641.49</v>
      </c>
      <c r="F29" t="n">
        <v>501.88</v>
      </c>
      <c r="G29" t="n">
        <v>379.56</v>
      </c>
      <c r="H29" t="n">
        <v>1647.33</v>
      </c>
      <c r="I29" t="n">
        <v>1451.92</v>
      </c>
      <c r="J29" t="n">
        <v>1544.25</v>
      </c>
      <c r="K29" t="n">
        <v>1518.43</v>
      </c>
    </row>
    <row r="30" customFormat="1" s="109">
      <c r="A30" s="109" t="inlineStr">
        <is>
          <t>Net profit</t>
        </is>
      </c>
      <c r="B30" t="n">
        <v>896.55</v>
      </c>
      <c r="C30" t="n">
        <v>2408.3</v>
      </c>
      <c r="D30" t="n">
        <v>2356.19</v>
      </c>
      <c r="E30" t="n">
        <v>1017.38</v>
      </c>
      <c r="F30" t="n">
        <v>1127.38</v>
      </c>
      <c r="G30" t="n">
        <v>1741.46</v>
      </c>
      <c r="H30" t="n">
        <v>3336.44</v>
      </c>
      <c r="I30" t="n">
        <v>3696.25</v>
      </c>
      <c r="J30" t="n">
        <v>3971</v>
      </c>
      <c r="K30" t="n">
        <v>3747.19</v>
      </c>
    </row>
    <row r="31" customFormat="1" s="109">
      <c r="A31" s="109" t="inlineStr">
        <is>
          <t>Dividend Amount</t>
        </is>
      </c>
      <c r="B31" t="n">
        <v>351.65</v>
      </c>
      <c r="C31" t="n">
        <v>351.65</v>
      </c>
      <c r="D31" t="n">
        <v>351.65</v>
      </c>
      <c r="E31" t="n">
        <v>419.28</v>
      </c>
      <c r="F31" t="n">
        <v>495.32</v>
      </c>
      <c r="G31" t="n">
        <v>559.23</v>
      </c>
      <c r="H31" t="n">
        <v>639.12</v>
      </c>
      <c r="I31" t="n">
        <v>639.12</v>
      </c>
      <c r="J31" t="n">
        <v>719.01</v>
      </c>
      <c r="K31" t="n">
        <v>798.9</v>
      </c>
    </row>
    <row r="32" customFormat="1" s="109"/>
    <row r="33">
      <c r="A33" s="109" t="n"/>
    </row>
    <row r="34">
      <c r="A34" s="109" t="n"/>
    </row>
    <row r="35">
      <c r="A35" s="109" t="n"/>
    </row>
    <row r="36">
      <c r="A36" s="109" t="n"/>
    </row>
    <row r="37">
      <c r="A37" s="109" t="n"/>
    </row>
    <row r="38">
      <c r="A38" s="109" t="n"/>
    </row>
    <row r="39">
      <c r="A39" s="109" t="n"/>
    </row>
    <row r="40">
      <c r="A40" s="108" t="inlineStr">
        <is>
          <t>Quarters</t>
        </is>
      </c>
    </row>
    <row r="41" customFormat="1" s="18">
      <c r="A41" s="17" t="inlineStr">
        <is>
          <t>Report Date</t>
        </is>
      </c>
      <c r="B41" s="12" t="n">
        <v>45291</v>
      </c>
      <c r="C41" s="12" t="n">
        <v>45382</v>
      </c>
      <c r="D41" s="12" t="n">
        <v>45473</v>
      </c>
      <c r="E41" s="12" t="n">
        <v>45565</v>
      </c>
      <c r="F41" s="12" t="n">
        <v>45657</v>
      </c>
      <c r="G41" s="12" t="n">
        <v>45747</v>
      </c>
      <c r="H41" s="12" t="n">
        <v>45838</v>
      </c>
      <c r="I41" s="12" t="n">
        <v>45930</v>
      </c>
      <c r="J41" s="12" t="n">
        <v>46022</v>
      </c>
      <c r="K41" s="12" t="n">
        <v>46112</v>
      </c>
    </row>
    <row r="42" customFormat="1" s="109">
      <c r="A42" s="109" t="inlineStr">
        <is>
          <t>Sales</t>
        </is>
      </c>
      <c r="B42" t="n">
        <v>14651</v>
      </c>
      <c r="C42" t="n">
        <v>15846.58</v>
      </c>
      <c r="D42" t="n">
        <v>17293.62</v>
      </c>
      <c r="E42" t="n">
        <v>15697.67</v>
      </c>
      <c r="F42" t="n">
        <v>15391.06</v>
      </c>
      <c r="G42" t="n">
        <v>17095.88</v>
      </c>
      <c r="H42" t="n">
        <v>18035.07</v>
      </c>
      <c r="I42" t="n">
        <v>15544.91</v>
      </c>
      <c r="J42" t="n">
        <v>13948.41</v>
      </c>
      <c r="K42" t="n">
        <v>14900.2</v>
      </c>
    </row>
    <row r="43" customFormat="1" s="109">
      <c r="A43" s="109" t="inlineStr">
        <is>
          <t>Expenses</t>
        </is>
      </c>
      <c r="B43" t="n">
        <v>12233.58</v>
      </c>
      <c r="C43" t="n">
        <v>13539.69</v>
      </c>
      <c r="D43" t="n">
        <v>14231.87</v>
      </c>
      <c r="E43" t="n">
        <v>12426.76</v>
      </c>
      <c r="F43" t="n">
        <v>12312.03</v>
      </c>
      <c r="G43" t="n">
        <v>13850.28</v>
      </c>
      <c r="H43" t="n">
        <v>14469.9</v>
      </c>
      <c r="I43" t="n">
        <v>12242.96</v>
      </c>
      <c r="J43" t="n">
        <v>10893.5</v>
      </c>
      <c r="K43" t="n">
        <v>12301.01</v>
      </c>
    </row>
    <row r="44" customFormat="1" s="109">
      <c r="A44" s="109" t="inlineStr">
        <is>
          <t>Other Income</t>
        </is>
      </c>
      <c r="B44" t="n">
        <v>1091.87</v>
      </c>
      <c r="C44" t="n">
        <v>1406.63</v>
      </c>
      <c r="D44" t="n">
        <v>577.72</v>
      </c>
      <c r="E44" t="n">
        <v>631.75</v>
      </c>
      <c r="F44" t="n">
        <v>588.55</v>
      </c>
      <c r="G44" t="n">
        <v>683.58</v>
      </c>
      <c r="H44" t="n">
        <v>494.42</v>
      </c>
      <c r="I44" t="n">
        <v>858.65</v>
      </c>
      <c r="J44" t="n">
        <v>1056.28</v>
      </c>
      <c r="K44" t="n">
        <v>1773.3</v>
      </c>
    </row>
    <row r="45" customFormat="1" s="109">
      <c r="A45" s="109" t="inlineStr">
        <is>
          <t>Depreciation</t>
        </is>
      </c>
      <c r="B45" t="n">
        <v>926.27</v>
      </c>
      <c r="C45" t="n">
        <v>1040.77</v>
      </c>
      <c r="D45" t="n">
        <v>972.89</v>
      </c>
      <c r="E45" t="n">
        <v>986.6900000000001</v>
      </c>
      <c r="F45" t="n">
        <v>1040.99</v>
      </c>
      <c r="G45" t="n">
        <v>1116.28</v>
      </c>
      <c r="H45" t="n">
        <v>1160.91</v>
      </c>
      <c r="I45" t="n">
        <v>1162.05</v>
      </c>
      <c r="J45" t="n">
        <v>1207.9</v>
      </c>
      <c r="K45" t="n">
        <v>1280.23</v>
      </c>
    </row>
    <row r="46" customFormat="1" s="109">
      <c r="A46" s="109" t="inlineStr">
        <is>
          <t>Interest</t>
        </is>
      </c>
      <c r="B46" t="n">
        <v>1094.26</v>
      </c>
      <c r="C46" t="n">
        <v>1135.72</v>
      </c>
      <c r="D46" t="n">
        <v>1176.24</v>
      </c>
      <c r="E46" t="n">
        <v>1143.1</v>
      </c>
      <c r="F46" t="n">
        <v>1169.9</v>
      </c>
      <c r="G46" t="n">
        <v>1213.21</v>
      </c>
      <c r="H46" t="n">
        <v>1279.22</v>
      </c>
      <c r="I46" t="n">
        <v>1318.65</v>
      </c>
      <c r="J46" t="n">
        <v>1363.66</v>
      </c>
      <c r="K46" t="n">
        <v>1295.26</v>
      </c>
    </row>
    <row r="47" customFormat="1" s="109">
      <c r="A47" s="109" t="inlineStr">
        <is>
          <t>Profit before tax</t>
        </is>
      </c>
      <c r="B47" t="n">
        <v>1488.76</v>
      </c>
      <c r="C47" t="n">
        <v>1537.03</v>
      </c>
      <c r="D47" t="n">
        <v>1490.34</v>
      </c>
      <c r="E47" t="n">
        <v>1772.87</v>
      </c>
      <c r="F47" t="n">
        <v>1456.69</v>
      </c>
      <c r="G47" t="n">
        <v>1599.69</v>
      </c>
      <c r="H47" t="n">
        <v>1619.46</v>
      </c>
      <c r="I47" t="n">
        <v>1679.9</v>
      </c>
      <c r="J47" t="n">
        <v>1539.63</v>
      </c>
      <c r="K47" t="n">
        <v>1797</v>
      </c>
    </row>
    <row r="48" customFormat="1" s="109">
      <c r="A48" s="109" t="inlineStr">
        <is>
          <t>Tax</t>
        </is>
      </c>
      <c r="B48" t="n">
        <v>412.64</v>
      </c>
      <c r="C48" t="n">
        <v>491.44</v>
      </c>
      <c r="D48" t="n">
        <v>301.71</v>
      </c>
      <c r="E48" t="n">
        <v>679.79</v>
      </c>
      <c r="F48" t="n">
        <v>269.15</v>
      </c>
      <c r="G48" t="n">
        <v>293.6</v>
      </c>
      <c r="H48" t="n">
        <v>357.14</v>
      </c>
      <c r="I48" t="n">
        <v>434.51</v>
      </c>
      <c r="J48" t="n">
        <v>345.3</v>
      </c>
      <c r="K48" t="n">
        <v>381.48</v>
      </c>
    </row>
    <row r="49" customFormat="1" s="109">
      <c r="A49" s="109" t="inlineStr">
        <is>
          <t>Net profit</t>
        </is>
      </c>
      <c r="B49" t="n">
        <v>953.01</v>
      </c>
      <c r="C49" t="n">
        <v>895.21</v>
      </c>
      <c r="D49" t="n">
        <v>970.91</v>
      </c>
      <c r="E49" t="n">
        <v>926.53</v>
      </c>
      <c r="F49" t="n">
        <v>1030.7</v>
      </c>
      <c r="G49" t="n">
        <v>1042.83</v>
      </c>
      <c r="H49" t="n">
        <v>1059.86</v>
      </c>
      <c r="I49" t="n">
        <v>919.4400000000001</v>
      </c>
      <c r="J49" t="n">
        <v>771.98</v>
      </c>
      <c r="K49" t="n">
        <v>995.91</v>
      </c>
    </row>
    <row r="50">
      <c r="A50" s="109" t="inlineStr">
        <is>
          <t>Operating Profit</t>
        </is>
      </c>
      <c r="B50" t="n">
        <v>2417.42</v>
      </c>
      <c r="C50" t="n">
        <v>2306.89</v>
      </c>
      <c r="D50" t="n">
        <v>3061.75</v>
      </c>
      <c r="E50" t="n">
        <v>3270.91</v>
      </c>
      <c r="F50" t="n">
        <v>3079.03</v>
      </c>
      <c r="G50" t="n">
        <v>3245.6</v>
      </c>
      <c r="H50" t="n">
        <v>3565.17</v>
      </c>
      <c r="I50" t="n">
        <v>3301.95</v>
      </c>
      <c r="J50" t="n">
        <v>3054.91</v>
      </c>
      <c r="K50" t="n">
        <v>2599.19</v>
      </c>
    </row>
    <row r="51">
      <c r="A51" s="109" t="n"/>
    </row>
    <row r="52">
      <c r="A52" s="109" t="n"/>
    </row>
    <row r="53">
      <c r="A53" s="109" t="n"/>
    </row>
    <row r="54">
      <c r="A54" s="109" t="n"/>
    </row>
    <row r="55">
      <c r="A55" s="108" t="inlineStr">
        <is>
          <t>BALANCE SHEET</t>
        </is>
      </c>
    </row>
    <row r="56" customFormat="1" s="18">
      <c r="A56" s="17" t="inlineStr">
        <is>
          <t>Report Date</t>
        </is>
      </c>
      <c r="B56" s="12" t="n">
        <v>42825</v>
      </c>
      <c r="C56" s="12" t="n">
        <v>43190</v>
      </c>
      <c r="D56" s="12" t="n">
        <v>43555</v>
      </c>
      <c r="E56" s="12" t="n">
        <v>43921</v>
      </c>
      <c r="F56" s="12" t="n">
        <v>44286</v>
      </c>
      <c r="G56" s="12" t="n">
        <v>44651</v>
      </c>
      <c r="H56" s="12" t="n">
        <v>45016</v>
      </c>
      <c r="I56" s="12" t="n">
        <v>45382</v>
      </c>
      <c r="J56" s="12" t="n">
        <v>45747</v>
      </c>
      <c r="K56" s="12" t="n">
        <v>46112</v>
      </c>
    </row>
    <row r="57">
      <c r="A57" s="109" t="inlineStr">
        <is>
          <t>Equity Share Capital</t>
        </is>
      </c>
      <c r="B57" t="n">
        <v>270.5</v>
      </c>
      <c r="C57" t="n">
        <v>270.5</v>
      </c>
      <c r="D57" t="n">
        <v>270.5</v>
      </c>
      <c r="E57" t="n">
        <v>270.5</v>
      </c>
      <c r="F57" t="n">
        <v>319.56</v>
      </c>
      <c r="G57" t="n">
        <v>319.56</v>
      </c>
      <c r="H57" t="n">
        <v>319.56</v>
      </c>
      <c r="I57" t="n">
        <v>319.56</v>
      </c>
      <c r="J57" t="n">
        <v>319.56</v>
      </c>
      <c r="K57" t="n">
        <v>319.56</v>
      </c>
    </row>
    <row r="58">
      <c r="A58" s="109" t="inlineStr">
        <is>
          <t>Reserves</t>
        </is>
      </c>
      <c r="B58" t="n">
        <v>12944.05</v>
      </c>
      <c r="C58" t="n">
        <v>16129.38</v>
      </c>
      <c r="D58" t="n">
        <v>18035.01</v>
      </c>
      <c r="E58" t="n">
        <v>19295.52</v>
      </c>
      <c r="F58" t="n">
        <v>22002.7</v>
      </c>
      <c r="G58" t="n">
        <v>22122</v>
      </c>
      <c r="H58" t="n">
        <v>28467.87</v>
      </c>
      <c r="I58" t="n">
        <v>32035.73</v>
      </c>
      <c r="J58" t="n">
        <v>35521.11</v>
      </c>
      <c r="K58" t="n">
        <v>39147.65</v>
      </c>
    </row>
    <row r="59">
      <c r="A59" s="109" t="inlineStr">
        <is>
          <t>Borrowings</t>
        </is>
      </c>
      <c r="B59" t="n">
        <v>48815.41</v>
      </c>
      <c r="C59" t="n">
        <v>48589.24</v>
      </c>
      <c r="D59" t="n">
        <v>48506.04</v>
      </c>
      <c r="E59" t="n">
        <v>51936.15</v>
      </c>
      <c r="F59" t="n">
        <v>46707.95</v>
      </c>
      <c r="G59" t="n">
        <v>51195.12</v>
      </c>
      <c r="H59" t="n">
        <v>52923</v>
      </c>
      <c r="I59" t="n">
        <v>53689.45</v>
      </c>
      <c r="J59" t="n">
        <v>62865.8</v>
      </c>
      <c r="K59" t="n">
        <v>76141.27</v>
      </c>
    </row>
    <row r="60">
      <c r="A60" s="109" t="inlineStr">
        <is>
          <t>Other Liabilities</t>
        </is>
      </c>
      <c r="B60" t="n">
        <v>20799.3</v>
      </c>
      <c r="C60" t="n">
        <v>16902.68</v>
      </c>
      <c r="D60" t="n">
        <v>17261.89</v>
      </c>
      <c r="E60" t="n">
        <v>18171.74</v>
      </c>
      <c r="F60" t="n">
        <v>29624.63</v>
      </c>
      <c r="G60" t="n">
        <v>38913.31</v>
      </c>
      <c r="H60" t="n">
        <v>46385.71</v>
      </c>
      <c r="I60" t="n">
        <v>53009.66</v>
      </c>
      <c r="J60" t="n">
        <v>57486.83</v>
      </c>
      <c r="K60" t="n">
        <v>58955.76</v>
      </c>
    </row>
    <row r="61" customFormat="1" s="108">
      <c r="A61" s="108" t="inlineStr">
        <is>
          <t>Total</t>
        </is>
      </c>
      <c r="B61" t="n">
        <v>82829.25999999999</v>
      </c>
      <c r="C61" t="n">
        <v>81891.8</v>
      </c>
      <c r="D61" t="n">
        <v>84073.44</v>
      </c>
      <c r="E61" t="n">
        <v>89673.91</v>
      </c>
      <c r="F61" t="n">
        <v>98654.84</v>
      </c>
      <c r="G61" t="n">
        <v>112549.99</v>
      </c>
      <c r="H61" t="n">
        <v>128096.14</v>
      </c>
      <c r="I61" t="n">
        <v>139054.4</v>
      </c>
      <c r="J61" t="n">
        <v>156193.3</v>
      </c>
      <c r="K61" t="n">
        <v>174564.24</v>
      </c>
    </row>
    <row r="62">
      <c r="A62" s="109" t="inlineStr">
        <is>
          <t>Net Block</t>
        </is>
      </c>
      <c r="B62" t="n">
        <v>46594.79</v>
      </c>
      <c r="C62" t="n">
        <v>44656.26</v>
      </c>
      <c r="D62" t="n">
        <v>44304.89</v>
      </c>
      <c r="E62" t="n">
        <v>47666.36</v>
      </c>
      <c r="F62" t="n">
        <v>52179.15</v>
      </c>
      <c r="G62" t="n">
        <v>57389.44</v>
      </c>
      <c r="H62" t="n">
        <v>61746.66</v>
      </c>
      <c r="I62" t="n">
        <v>67209.56</v>
      </c>
      <c r="J62" t="n">
        <v>78374.42999999999</v>
      </c>
      <c r="K62" t="n">
        <v>87292.69</v>
      </c>
    </row>
    <row r="63">
      <c r="A63" s="109" t="inlineStr">
        <is>
          <t>Capital Work in Progress</t>
        </is>
      </c>
      <c r="B63" t="n">
        <v>2177.92</v>
      </c>
      <c r="C63" t="n">
        <v>1652.6</v>
      </c>
      <c r="D63" t="n">
        <v>2575.7</v>
      </c>
      <c r="E63" t="n">
        <v>1611.52</v>
      </c>
      <c r="F63" t="n">
        <v>3270.26</v>
      </c>
      <c r="G63" t="n">
        <v>4635.1</v>
      </c>
      <c r="H63" t="n">
        <v>5376.36</v>
      </c>
      <c r="I63" t="n">
        <v>11561.31</v>
      </c>
      <c r="J63" t="n">
        <v>12678.87</v>
      </c>
      <c r="K63" t="n">
        <v>14595.13</v>
      </c>
    </row>
    <row r="64">
      <c r="A64" s="109" t="inlineStr">
        <is>
          <t>Investments</t>
        </is>
      </c>
      <c r="B64" t="n">
        <v>11873.01</v>
      </c>
      <c r="C64" t="n">
        <v>12428.93</v>
      </c>
      <c r="D64" t="n">
        <v>13541.87</v>
      </c>
      <c r="E64" t="n">
        <v>14534.84</v>
      </c>
      <c r="F64" t="n">
        <v>13149.05</v>
      </c>
      <c r="G64" t="n">
        <v>14160.33</v>
      </c>
      <c r="H64" t="n">
        <v>16669.69</v>
      </c>
      <c r="I64" t="n">
        <v>16315.99</v>
      </c>
      <c r="J64" t="n">
        <v>16316.39</v>
      </c>
      <c r="K64" t="n">
        <v>16574.54</v>
      </c>
    </row>
    <row r="65">
      <c r="A65" s="109" t="inlineStr">
        <is>
          <t>Other Assets</t>
        </is>
      </c>
      <c r="B65" t="n">
        <v>22183.54</v>
      </c>
      <c r="C65" t="n">
        <v>23154.01</v>
      </c>
      <c r="D65" t="n">
        <v>23650.98</v>
      </c>
      <c r="E65" t="n">
        <v>25861.19</v>
      </c>
      <c r="F65" t="n">
        <v>30056.38</v>
      </c>
      <c r="G65" t="n">
        <v>36365.12</v>
      </c>
      <c r="H65" t="n">
        <v>44303.43</v>
      </c>
      <c r="I65" t="n">
        <v>43967.54</v>
      </c>
      <c r="J65" t="n">
        <v>48823.61</v>
      </c>
      <c r="K65" t="n">
        <v>56101.88</v>
      </c>
    </row>
    <row r="66" customFormat="1" s="108">
      <c r="A66" s="108" t="inlineStr">
        <is>
          <t>Total</t>
        </is>
      </c>
      <c r="B66" t="n">
        <v>82829.25999999999</v>
      </c>
      <c r="C66" t="n">
        <v>81891.8</v>
      </c>
      <c r="D66" t="n">
        <v>84073.44</v>
      </c>
      <c r="E66" t="n">
        <v>89673.91</v>
      </c>
      <c r="F66" t="n">
        <v>98654.84</v>
      </c>
      <c r="G66" t="n">
        <v>112549.99</v>
      </c>
      <c r="H66" t="n">
        <v>128096.14</v>
      </c>
      <c r="I66" t="n">
        <v>139054.4</v>
      </c>
      <c r="J66" t="n">
        <v>156193.3</v>
      </c>
      <c r="K66" t="n">
        <v>174564.24</v>
      </c>
    </row>
    <row r="67" customFormat="1" s="109">
      <c r="A67" s="109" t="inlineStr">
        <is>
          <t>Receivables</t>
        </is>
      </c>
      <c r="B67" t="n">
        <v>3832.12</v>
      </c>
      <c r="C67" t="n">
        <v>2788.93</v>
      </c>
      <c r="D67" t="n">
        <v>4445.26</v>
      </c>
      <c r="E67" t="n">
        <v>4425.9</v>
      </c>
      <c r="F67" t="n">
        <v>5200.08</v>
      </c>
      <c r="G67" t="n">
        <v>5979.74</v>
      </c>
      <c r="H67" t="n">
        <v>6952.15</v>
      </c>
      <c r="I67" t="n">
        <v>7401.69</v>
      </c>
      <c r="J67" t="n">
        <v>5709.78</v>
      </c>
      <c r="K67" t="n">
        <v>4423.96</v>
      </c>
    </row>
    <row r="68">
      <c r="A68" s="109" t="inlineStr">
        <is>
          <t>Inventory</t>
        </is>
      </c>
      <c r="B68" t="n">
        <v>1599.56</v>
      </c>
      <c r="C68" t="n">
        <v>1623.08</v>
      </c>
      <c r="D68" t="n">
        <v>1706.42</v>
      </c>
      <c r="E68" t="n">
        <v>1752.35</v>
      </c>
      <c r="F68" t="n">
        <v>1885.62</v>
      </c>
      <c r="G68" t="n">
        <v>4231.52</v>
      </c>
      <c r="H68" t="n">
        <v>3942.88</v>
      </c>
      <c r="I68" t="n">
        <v>4419.63</v>
      </c>
      <c r="J68" t="n">
        <v>4571.82</v>
      </c>
      <c r="K68" t="n">
        <v>5107.64</v>
      </c>
    </row>
    <row r="69">
      <c r="A69" s="114" t="inlineStr">
        <is>
          <t>Cash &amp; Bank</t>
        </is>
      </c>
      <c r="B69" t="n">
        <v>954.3</v>
      </c>
      <c r="C69" t="n">
        <v>1185.78</v>
      </c>
      <c r="D69" t="n">
        <v>787.45</v>
      </c>
      <c r="E69" t="n">
        <v>2094.18</v>
      </c>
      <c r="F69" t="n">
        <v>5870.67</v>
      </c>
      <c r="G69" t="n">
        <v>6640.7</v>
      </c>
      <c r="H69" t="n">
        <v>11206.53</v>
      </c>
      <c r="I69" t="n">
        <v>9151.91</v>
      </c>
      <c r="J69" t="n">
        <v>11750.98</v>
      </c>
      <c r="K69" t="n">
        <v>13644</v>
      </c>
    </row>
    <row r="70">
      <c r="A70" s="114" t="inlineStr">
        <is>
          <t>No. of Equity Shares</t>
        </is>
      </c>
      <c r="B70" t="n">
        <v>2706281698</v>
      </c>
      <c r="C70" t="n">
        <v>2706425810</v>
      </c>
      <c r="D70" t="n">
        <v>2706425810</v>
      </c>
      <c r="E70" t="n">
        <v>2706425810</v>
      </c>
      <c r="F70" t="n">
        <v>3196991847</v>
      </c>
      <c r="G70" t="n">
        <v>3196991847</v>
      </c>
      <c r="H70" t="n">
        <v>3196991847</v>
      </c>
      <c r="I70" t="n">
        <v>3196991847</v>
      </c>
      <c r="J70" t="n">
        <v>3196991847</v>
      </c>
      <c r="K70" t="n">
        <v>3196991847</v>
      </c>
    </row>
    <row r="71">
      <c r="A71" s="114" t="inlineStr">
        <is>
          <t>New Bonus Shares</t>
        </is>
      </c>
    </row>
    <row r="72">
      <c r="A72" s="114" t="inlineStr">
        <is>
          <t>Face value</t>
        </is>
      </c>
      <c r="B72" t="n">
        <v>1</v>
      </c>
      <c r="C72" t="n">
        <v>1</v>
      </c>
      <c r="D72" t="n">
        <v>1</v>
      </c>
      <c r="E72" t="n">
        <v>1</v>
      </c>
      <c r="F72" t="n">
        <v>1</v>
      </c>
      <c r="G72" t="n">
        <v>1</v>
      </c>
      <c r="H72" t="n">
        <v>1</v>
      </c>
      <c r="I72" t="n">
        <v>1</v>
      </c>
      <c r="J72" t="n">
        <v>1</v>
      </c>
      <c r="K72" t="n">
        <v>1</v>
      </c>
    </row>
    <row r="74">
      <c r="A74" s="109" t="n"/>
    </row>
    <row r="75">
      <c r="A75" s="109" t="n"/>
    </row>
    <row r="76">
      <c r="A76" s="109" t="n"/>
    </row>
    <row r="77">
      <c r="A77" s="109" t="n"/>
    </row>
    <row r="78">
      <c r="A78" s="109" t="n"/>
    </row>
    <row r="79">
      <c r="A79" s="109" t="n"/>
    </row>
    <row r="80">
      <c r="A80" s="108" t="inlineStr">
        <is>
          <t>CASH FLOW:</t>
        </is>
      </c>
    </row>
    <row r="81" customFormat="1" s="18">
      <c r="A81" s="17" t="inlineStr">
        <is>
          <t>Report Date</t>
        </is>
      </c>
      <c r="B81" s="12" t="n">
        <v>42825</v>
      </c>
      <c r="C81" s="12" t="n">
        <v>43190</v>
      </c>
      <c r="D81" s="12" t="n">
        <v>43555</v>
      </c>
      <c r="E81" s="12" t="n">
        <v>43921</v>
      </c>
      <c r="F81" s="12" t="n">
        <v>44286</v>
      </c>
      <c r="G81" s="12" t="n">
        <v>44651</v>
      </c>
      <c r="H81" s="12" t="n">
        <v>45016</v>
      </c>
      <c r="I81" s="12" t="n">
        <v>45382</v>
      </c>
      <c r="J81" s="12" t="n">
        <v>45747</v>
      </c>
      <c r="K81" s="12" t="n">
        <v>46112</v>
      </c>
    </row>
    <row r="82" customFormat="1" s="108">
      <c r="A82" s="109" t="inlineStr">
        <is>
          <t>Cash from Operating Activity</t>
        </is>
      </c>
      <c r="B82" t="n">
        <v>7014.18</v>
      </c>
      <c r="C82" t="n">
        <v>6363.85</v>
      </c>
      <c r="D82" t="n">
        <v>4573.79</v>
      </c>
      <c r="E82" t="n">
        <v>7375.32</v>
      </c>
      <c r="F82" t="n">
        <v>8345.120000000001</v>
      </c>
      <c r="G82" t="n">
        <v>6692.73</v>
      </c>
      <c r="H82" t="n">
        <v>7165.59</v>
      </c>
      <c r="I82" t="n">
        <v>12504.37</v>
      </c>
      <c r="J82" t="n">
        <v>12680.19</v>
      </c>
      <c r="K82" t="n">
        <v>5993.33</v>
      </c>
    </row>
    <row r="83" customFormat="1" s="109">
      <c r="A83" s="109" t="inlineStr">
        <is>
          <t>Cash from Investing Activity</t>
        </is>
      </c>
      <c r="B83" t="n">
        <v>-7372.73</v>
      </c>
      <c r="C83" t="n">
        <v>-1511.65</v>
      </c>
      <c r="D83" t="n">
        <v>-272.34</v>
      </c>
      <c r="E83" t="n">
        <v>-492.88</v>
      </c>
      <c r="F83" t="n">
        <v>993.33</v>
      </c>
      <c r="G83" t="n">
        <v>-6250.47</v>
      </c>
      <c r="H83" t="n">
        <v>-7263.1</v>
      </c>
      <c r="I83" t="n">
        <v>-8935.370000000001</v>
      </c>
      <c r="J83" t="n">
        <v>-15436.29</v>
      </c>
      <c r="K83" t="n">
        <v>-14128.65</v>
      </c>
    </row>
    <row r="84" customFormat="1" s="109">
      <c r="A84" s="109" t="inlineStr">
        <is>
          <t>Cash from Financing Activity</t>
        </is>
      </c>
      <c r="B84" t="n">
        <v>937.34</v>
      </c>
      <c r="C84" t="n">
        <v>-4726.26</v>
      </c>
      <c r="D84" t="n">
        <v>-5184.45</v>
      </c>
      <c r="E84" t="n">
        <v>-5109.57</v>
      </c>
      <c r="F84" t="n">
        <v>-7602.88</v>
      </c>
      <c r="G84" t="n">
        <v>-1183.2</v>
      </c>
      <c r="H84" t="n">
        <v>1340.77</v>
      </c>
      <c r="I84" t="n">
        <v>-4497.43</v>
      </c>
      <c r="J84" t="n">
        <v>4292.39</v>
      </c>
      <c r="K84" t="n">
        <v>7782.63</v>
      </c>
    </row>
    <row r="85" customFormat="1" s="108">
      <c r="A85" s="109" t="inlineStr">
        <is>
          <t>Net Cash Flow</t>
        </is>
      </c>
      <c r="B85" t="n">
        <v>578.79</v>
      </c>
      <c r="C85" t="n">
        <v>125.94</v>
      </c>
      <c r="D85" t="n">
        <v>-883</v>
      </c>
      <c r="E85" t="n">
        <v>1772.87</v>
      </c>
      <c r="F85" t="n">
        <v>1735.57</v>
      </c>
      <c r="G85" t="n">
        <v>-740.9400000000001</v>
      </c>
      <c r="H85" t="n">
        <v>1243.26</v>
      </c>
      <c r="I85" t="n">
        <v>-928.4299999999999</v>
      </c>
      <c r="J85" t="n">
        <v>1536.29</v>
      </c>
      <c r="K85" t="n">
        <v>-352.69</v>
      </c>
    </row>
    <row r="86">
      <c r="A86" s="109" t="n"/>
    </row>
    <row r="87">
      <c r="A87" s="109" t="n"/>
    </row>
    <row r="88">
      <c r="A88" s="109" t="n"/>
    </row>
    <row r="89">
      <c r="A89" s="109" t="n"/>
    </row>
    <row r="90" customFormat="1" s="108">
      <c r="A90" s="108" t="inlineStr">
        <is>
          <t>PRICE:</t>
        </is>
      </c>
      <c r="B90" t="n">
        <v>90.34999999999999</v>
      </c>
      <c r="C90" t="n">
        <v>79</v>
      </c>
      <c r="D90" t="n">
        <v>73.8</v>
      </c>
      <c r="E90" t="n">
        <v>32.85</v>
      </c>
      <c r="F90" t="n">
        <v>103.25</v>
      </c>
      <c r="G90" t="n">
        <v>238.65</v>
      </c>
      <c r="H90" t="n">
        <v>190.25</v>
      </c>
      <c r="I90" t="n">
        <v>394.2</v>
      </c>
      <c r="J90" t="n">
        <v>375.4</v>
      </c>
      <c r="K90" t="n">
        <v>378.75</v>
      </c>
    </row>
    <row r="92" customFormat="1" s="108">
      <c r="A92" s="108" t="inlineStr">
        <is>
          <t>DERIVED:</t>
        </is>
      </c>
    </row>
    <row r="93">
      <c r="A93" s="114" t="inlineStr">
        <is>
          <t>Adjusted Equity Shares in Cr</t>
        </is>
      </c>
      <c r="B93" s="120" t="n">
        <v>270.48</v>
      </c>
      <c r="C93" s="120" t="n">
        <v>270.48</v>
      </c>
      <c r="D93" s="120" t="n">
        <v>270.48</v>
      </c>
      <c r="E93" s="120" t="n">
        <v>270.48</v>
      </c>
      <c r="F93" s="120" t="n">
        <v>319.53</v>
      </c>
      <c r="G93" s="120" t="n">
        <v>319.53</v>
      </c>
      <c r="H93" s="120" t="n">
        <v>319.53</v>
      </c>
      <c r="I93" s="120" t="n">
        <v>319.53</v>
      </c>
      <c r="J93" s="120" t="n">
        <v>319.53</v>
      </c>
      <c r="K93" s="120" t="n">
        <v>319.53</v>
      </c>
    </row>
  </sheetData>
  <mergeCells count="2">
    <mergeCell ref="E2:K2"/>
    <mergeCell ref="E1:K1"/>
  </mergeCells>
  <conditionalFormatting sqref="E1:K1">
    <cfRule type="cellIs" priority="1" operator="notEqual" dxfId="0">
      <formula>""</formula>
    </cfRule>
  </conditionalFormatting>
  <hyperlinks>
    <hyperlink xmlns:r="http://schemas.openxmlformats.org/officeDocument/2006/relationships" ref="E1" display="https://www.screener.in/excel/" r:id="rId1"/>
  </hyperlink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navneet yadav</dc:creator>
  <dcterms:created xmlns:dcterms="http://purl.org/dc/terms/" xmlns:xsi="http://www.w3.org/2001/XMLSchema-instance" xsi:type="dcterms:W3CDTF">2012-08-17T09:55:37Z</dcterms:created>
  <dcterms:modified xmlns:dcterms="http://purl.org/dc/terms/" xmlns:xsi="http://www.w3.org/2001/XMLSchema-instance" xsi:type="dcterms:W3CDTF">2026-07-22T10:39:36Z</dcterms:modified>
  <cp:lastModifiedBy>navneet yadav</cp:lastModifiedBy>
  <cp:lastPrinted>2012-12-06T18:14:13Z</cp:lastPrinted>
</cp:coreProperties>
</file>