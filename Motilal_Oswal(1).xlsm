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Navneet\Downloads\"/>
    </mc:Choice>
  </mc:AlternateContent>
  <xr:revisionPtr revIDLastSave="0" documentId="13_ncr:1_{D5D9473D-42AA-4021-A710-4FAAF2DCBDB1}" xr6:coauthVersionLast="47" xr6:coauthVersionMax="47" xr10:uidLastSave="{00000000-0000-0000-0000-000000000000}"/>
  <bookViews>
    <workbookView xWindow="-108" yWindow="-108" windowWidth="23256" windowHeight="12456" tabRatio="500" firstSheet="1" activeTab="1" xr2:uid="{00000000-000D-0000-FFFF-FFFF00000000}"/>
  </bookViews>
  <sheets>
    <sheet name="Intro" sheetId="13" r:id="rId1"/>
    <sheet name="Dashboard" sheetId="1" r:id="rId2"/>
    <sheet name="Profit &amp; Loss" sheetId="2" state="hidden" r:id="rId3"/>
    <sheet name="Quarters" sheetId="3" state="hidden" r:id="rId4"/>
    <sheet name="Balance Sheet" sheetId="4" state="hidden" r:id="rId5"/>
    <sheet name="Cash Flow" sheetId="5" state="hidden" r:id="rId6"/>
    <sheet name="Customization" sheetId="6" state="hidden" r:id="rId7"/>
    <sheet name="3Statement Model" sheetId="7" r:id="rId8"/>
    <sheet name="Ratio Analysis" sheetId="8" r:id="rId9"/>
    <sheet name="DCF" sheetId="9" r:id="rId10"/>
    <sheet name="Common Size Statement" sheetId="10" r:id="rId11"/>
    <sheet name="Comp Analysis" sheetId="11" r:id="rId12"/>
    <sheet name="Data" sheetId="12" r:id="rId13"/>
  </sheets>
  <definedNames>
    <definedName name="UPDATE">Data!$E$1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" i="11" l="1"/>
  <c r="B6" i="12"/>
  <c r="E1" i="12"/>
  <c r="Q8" i="11"/>
  <c r="H8" i="11"/>
  <c r="F8" i="11"/>
  <c r="H7" i="11"/>
  <c r="P7" i="11" s="1"/>
  <c r="F7" i="11"/>
  <c r="Q7" i="11" s="1"/>
  <c r="H6" i="11"/>
  <c r="P6" i="11" s="1"/>
  <c r="F6" i="11"/>
  <c r="Q6" i="11" s="1"/>
  <c r="F5" i="11"/>
  <c r="E5" i="11"/>
  <c r="Q21" i="11" s="1"/>
  <c r="D5" i="11"/>
  <c r="B5" i="11"/>
  <c r="B17" i="11" s="1"/>
  <c r="B2" i="11"/>
  <c r="L40" i="10"/>
  <c r="K40" i="10"/>
  <c r="J40" i="10"/>
  <c r="I40" i="10"/>
  <c r="H40" i="10"/>
  <c r="G40" i="10"/>
  <c r="F40" i="10"/>
  <c r="E40" i="10"/>
  <c r="D40" i="10"/>
  <c r="C40" i="10"/>
  <c r="B40" i="10"/>
  <c r="L38" i="10"/>
  <c r="K38" i="10"/>
  <c r="J38" i="10"/>
  <c r="I38" i="10"/>
  <c r="H38" i="10"/>
  <c r="G38" i="10"/>
  <c r="F38" i="10"/>
  <c r="E38" i="10"/>
  <c r="D38" i="10"/>
  <c r="C38" i="10"/>
  <c r="B38" i="10"/>
  <c r="L37" i="10"/>
  <c r="K37" i="10"/>
  <c r="J37" i="10"/>
  <c r="I37" i="10"/>
  <c r="H37" i="10"/>
  <c r="G37" i="10"/>
  <c r="F37" i="10"/>
  <c r="E37" i="10"/>
  <c r="D37" i="10"/>
  <c r="C37" i="10"/>
  <c r="B37" i="10"/>
  <c r="L36" i="10"/>
  <c r="K36" i="10"/>
  <c r="J36" i="10"/>
  <c r="I36" i="10"/>
  <c r="H36" i="10"/>
  <c r="G36" i="10"/>
  <c r="F36" i="10"/>
  <c r="E36" i="10"/>
  <c r="D36" i="10"/>
  <c r="C36" i="10"/>
  <c r="B36" i="10"/>
  <c r="L35" i="10"/>
  <c r="K35" i="10"/>
  <c r="J35" i="10"/>
  <c r="I35" i="10"/>
  <c r="H35" i="10"/>
  <c r="G35" i="10"/>
  <c r="F35" i="10"/>
  <c r="E35" i="10"/>
  <c r="D35" i="10"/>
  <c r="C35" i="10"/>
  <c r="B35" i="10"/>
  <c r="L34" i="10"/>
  <c r="K34" i="10"/>
  <c r="J34" i="10"/>
  <c r="I34" i="10"/>
  <c r="H34" i="10"/>
  <c r="G34" i="10"/>
  <c r="F34" i="10"/>
  <c r="E34" i="10"/>
  <c r="D34" i="10"/>
  <c r="C34" i="10"/>
  <c r="B34" i="10"/>
  <c r="L33" i="10"/>
  <c r="K33" i="10"/>
  <c r="J33" i="10"/>
  <c r="I33" i="10"/>
  <c r="H33" i="10"/>
  <c r="G33" i="10"/>
  <c r="F33" i="10"/>
  <c r="E33" i="10"/>
  <c r="D33" i="10"/>
  <c r="C33" i="10"/>
  <c r="B33" i="10"/>
  <c r="L32" i="10"/>
  <c r="K32" i="10"/>
  <c r="J32" i="10"/>
  <c r="I32" i="10"/>
  <c r="H32" i="10"/>
  <c r="G32" i="10"/>
  <c r="F32" i="10"/>
  <c r="E32" i="10"/>
  <c r="D32" i="10"/>
  <c r="C32" i="10"/>
  <c r="B32" i="10"/>
  <c r="L30" i="10"/>
  <c r="K30" i="10"/>
  <c r="J30" i="10"/>
  <c r="I30" i="10"/>
  <c r="H30" i="10"/>
  <c r="G30" i="10"/>
  <c r="F30" i="10"/>
  <c r="E30" i="10"/>
  <c r="D30" i="10"/>
  <c r="C30" i="10"/>
  <c r="B30" i="10"/>
  <c r="L28" i="10"/>
  <c r="K28" i="10"/>
  <c r="J28" i="10"/>
  <c r="I28" i="10"/>
  <c r="H28" i="10"/>
  <c r="G28" i="10"/>
  <c r="F28" i="10"/>
  <c r="E28" i="10"/>
  <c r="D28" i="10"/>
  <c r="C28" i="10"/>
  <c r="B28" i="10"/>
  <c r="L27" i="10"/>
  <c r="K27" i="10"/>
  <c r="J27" i="10"/>
  <c r="I27" i="10"/>
  <c r="H27" i="10"/>
  <c r="G27" i="10"/>
  <c r="F27" i="10"/>
  <c r="E27" i="10"/>
  <c r="D27" i="10"/>
  <c r="C27" i="10"/>
  <c r="B27" i="10"/>
  <c r="L26" i="10"/>
  <c r="K26" i="10"/>
  <c r="J26" i="10"/>
  <c r="I26" i="10"/>
  <c r="H26" i="10"/>
  <c r="G26" i="10"/>
  <c r="F26" i="10"/>
  <c r="E26" i="10"/>
  <c r="D26" i="10"/>
  <c r="C26" i="10"/>
  <c r="B26" i="10"/>
  <c r="L25" i="10"/>
  <c r="K25" i="10"/>
  <c r="J25" i="10"/>
  <c r="I25" i="10"/>
  <c r="H25" i="10"/>
  <c r="G25" i="10"/>
  <c r="F25" i="10"/>
  <c r="E25" i="10"/>
  <c r="D25" i="10"/>
  <c r="C25" i="10"/>
  <c r="B25" i="10"/>
  <c r="B22" i="10"/>
  <c r="L20" i="10"/>
  <c r="K20" i="10"/>
  <c r="J20" i="10"/>
  <c r="I20" i="10"/>
  <c r="H20" i="10"/>
  <c r="G20" i="10"/>
  <c r="F20" i="10"/>
  <c r="E20" i="10"/>
  <c r="D20" i="10"/>
  <c r="C20" i="10"/>
  <c r="L19" i="10"/>
  <c r="K19" i="10"/>
  <c r="J19" i="10"/>
  <c r="I19" i="10"/>
  <c r="H19" i="10"/>
  <c r="G19" i="10"/>
  <c r="F19" i="10"/>
  <c r="E19" i="10"/>
  <c r="D19" i="10"/>
  <c r="C19" i="10"/>
  <c r="L18" i="10"/>
  <c r="K18" i="10"/>
  <c r="J18" i="10"/>
  <c r="I18" i="10"/>
  <c r="H18" i="10"/>
  <c r="G18" i="10"/>
  <c r="F18" i="10"/>
  <c r="E18" i="10"/>
  <c r="D18" i="10"/>
  <c r="C18" i="10"/>
  <c r="L17" i="10"/>
  <c r="K17" i="10"/>
  <c r="J17" i="10"/>
  <c r="I17" i="10"/>
  <c r="H17" i="10"/>
  <c r="G17" i="10"/>
  <c r="F17" i="10"/>
  <c r="E17" i="10"/>
  <c r="D17" i="10"/>
  <c r="C17" i="10"/>
  <c r="L16" i="10"/>
  <c r="K16" i="10"/>
  <c r="J16" i="10"/>
  <c r="I16" i="10"/>
  <c r="H16" i="10"/>
  <c r="G16" i="10"/>
  <c r="F16" i="10"/>
  <c r="E16" i="10"/>
  <c r="D16" i="10"/>
  <c r="C16" i="10"/>
  <c r="L15" i="10"/>
  <c r="K15" i="10"/>
  <c r="J15" i="10"/>
  <c r="I15" i="10"/>
  <c r="H15" i="10"/>
  <c r="G15" i="10"/>
  <c r="F15" i="10"/>
  <c r="E15" i="10"/>
  <c r="D15" i="10"/>
  <c r="C15" i="10"/>
  <c r="L14" i="10"/>
  <c r="K14" i="10"/>
  <c r="J14" i="10"/>
  <c r="I14" i="10"/>
  <c r="H14" i="10"/>
  <c r="G14" i="10"/>
  <c r="F14" i="10"/>
  <c r="E14" i="10"/>
  <c r="D14" i="10"/>
  <c r="C14" i="10"/>
  <c r="L13" i="10"/>
  <c r="K13" i="10"/>
  <c r="J13" i="10"/>
  <c r="I13" i="10"/>
  <c r="H13" i="10"/>
  <c r="G13" i="10"/>
  <c r="F13" i="10"/>
  <c r="E13" i="10"/>
  <c r="D13" i="10"/>
  <c r="C13" i="10"/>
  <c r="L12" i="10"/>
  <c r="K12" i="10"/>
  <c r="J12" i="10"/>
  <c r="I12" i="10"/>
  <c r="H12" i="10"/>
  <c r="G12" i="10"/>
  <c r="F12" i="10"/>
  <c r="E12" i="10"/>
  <c r="D12" i="10"/>
  <c r="C12" i="10"/>
  <c r="L11" i="10"/>
  <c r="K11" i="10"/>
  <c r="J11" i="10"/>
  <c r="I11" i="10"/>
  <c r="H11" i="10"/>
  <c r="G11" i="10"/>
  <c r="F11" i="10"/>
  <c r="E11" i="10"/>
  <c r="D11" i="10"/>
  <c r="C11" i="10"/>
  <c r="L10" i="10"/>
  <c r="K10" i="10"/>
  <c r="J10" i="10"/>
  <c r="I10" i="10"/>
  <c r="H10" i="10"/>
  <c r="G10" i="10"/>
  <c r="F10" i="10"/>
  <c r="E10" i="10"/>
  <c r="D10" i="10"/>
  <c r="C10" i="10"/>
  <c r="L9" i="10"/>
  <c r="K9" i="10"/>
  <c r="J9" i="10"/>
  <c r="I9" i="10"/>
  <c r="H9" i="10"/>
  <c r="G9" i="10"/>
  <c r="F9" i="10"/>
  <c r="E9" i="10"/>
  <c r="D9" i="10"/>
  <c r="C9" i="10"/>
  <c r="L8" i="10"/>
  <c r="K8" i="10"/>
  <c r="J8" i="10"/>
  <c r="I8" i="10"/>
  <c r="H8" i="10"/>
  <c r="G8" i="10"/>
  <c r="F8" i="10"/>
  <c r="E8" i="10"/>
  <c r="D8" i="10"/>
  <c r="C8" i="10"/>
  <c r="L7" i="10"/>
  <c r="K7" i="10"/>
  <c r="J7" i="10"/>
  <c r="I7" i="10"/>
  <c r="H7" i="10"/>
  <c r="G7" i="10"/>
  <c r="F7" i="10"/>
  <c r="E7" i="10"/>
  <c r="D7" i="10"/>
  <c r="C7" i="10"/>
  <c r="L6" i="10"/>
  <c r="K6" i="10"/>
  <c r="J6" i="10"/>
  <c r="I6" i="10"/>
  <c r="H6" i="10"/>
  <c r="G6" i="10"/>
  <c r="F6" i="10"/>
  <c r="E6" i="10"/>
  <c r="D6" i="10"/>
  <c r="C6" i="10"/>
  <c r="L5" i="10"/>
  <c r="K5" i="10"/>
  <c r="J5" i="10"/>
  <c r="I5" i="10"/>
  <c r="H5" i="10"/>
  <c r="G5" i="10"/>
  <c r="F5" i="10"/>
  <c r="E5" i="10"/>
  <c r="D5" i="10"/>
  <c r="C5" i="10"/>
  <c r="L4" i="10"/>
  <c r="K4" i="10"/>
  <c r="J4" i="10"/>
  <c r="I4" i="10"/>
  <c r="H4" i="10"/>
  <c r="G4" i="10"/>
  <c r="F4" i="10"/>
  <c r="E4" i="10"/>
  <c r="D4" i="10"/>
  <c r="C4" i="10"/>
  <c r="L3" i="10"/>
  <c r="K3" i="10"/>
  <c r="J3" i="10"/>
  <c r="I3" i="10"/>
  <c r="H3" i="10"/>
  <c r="G3" i="10"/>
  <c r="F3" i="10"/>
  <c r="E3" i="10"/>
  <c r="D3" i="10"/>
  <c r="C3" i="10"/>
  <c r="B2" i="10"/>
  <c r="B54" i="9"/>
  <c r="B47" i="9"/>
  <c r="E9" i="9"/>
  <c r="E6" i="9"/>
  <c r="H4" i="9"/>
  <c r="F33" i="8" a="1"/>
  <c r="F33" i="8" s="1"/>
  <c r="K28" i="8"/>
  <c r="F14" i="8"/>
  <c r="M3" i="8"/>
  <c r="N3" i="8" s="1"/>
  <c r="O3" i="8" s="1"/>
  <c r="P3" i="8" s="1"/>
  <c r="L3" i="8"/>
  <c r="K3" i="8"/>
  <c r="J3" i="8"/>
  <c r="I3" i="8"/>
  <c r="H3" i="8"/>
  <c r="G3" i="8"/>
  <c r="F3" i="8"/>
  <c r="E3" i="8"/>
  <c r="D3" i="8"/>
  <c r="C3" i="8"/>
  <c r="B2" i="8"/>
  <c r="G100" i="7"/>
  <c r="F100" i="7"/>
  <c r="L98" i="7"/>
  <c r="L100" i="7" s="1"/>
  <c r="K98" i="7"/>
  <c r="J98" i="7"/>
  <c r="I98" i="7"/>
  <c r="I100" i="7" s="1"/>
  <c r="H98" i="7"/>
  <c r="G98" i="7"/>
  <c r="F98" i="7"/>
  <c r="E98" i="7"/>
  <c r="E100" i="7" s="1"/>
  <c r="D98" i="7"/>
  <c r="D100" i="7" s="1"/>
  <c r="C98" i="7"/>
  <c r="L88" i="7"/>
  <c r="K88" i="7"/>
  <c r="J88" i="7"/>
  <c r="I88" i="7"/>
  <c r="H88" i="7"/>
  <c r="H100" i="7" s="1"/>
  <c r="G88" i="7"/>
  <c r="F88" i="7"/>
  <c r="E88" i="7"/>
  <c r="D88" i="7"/>
  <c r="C88" i="7"/>
  <c r="L74" i="7"/>
  <c r="K74" i="7"/>
  <c r="J74" i="7"/>
  <c r="I74" i="7"/>
  <c r="H74" i="7"/>
  <c r="G74" i="7"/>
  <c r="F74" i="7"/>
  <c r="E74" i="7"/>
  <c r="D74" i="7"/>
  <c r="C74" i="7"/>
  <c r="H56" i="7"/>
  <c r="G56" i="7"/>
  <c r="L55" i="7"/>
  <c r="L28" i="8" s="1"/>
  <c r="K55" i="7"/>
  <c r="J55" i="7"/>
  <c r="J28" i="8" s="1"/>
  <c r="I55" i="7"/>
  <c r="I28" i="8" s="1"/>
  <c r="H55" i="7"/>
  <c r="H28" i="8" s="1"/>
  <c r="G55" i="7"/>
  <c r="G28" i="8" s="1"/>
  <c r="F55" i="7"/>
  <c r="F28" i="8" s="1"/>
  <c r="E55" i="7"/>
  <c r="E28" i="8" s="1"/>
  <c r="D55" i="7"/>
  <c r="D28" i="8" s="1"/>
  <c r="C55" i="7"/>
  <c r="C28" i="8" s="1"/>
  <c r="L54" i="7"/>
  <c r="K54" i="7"/>
  <c r="J54" i="7"/>
  <c r="I54" i="7"/>
  <c r="H54" i="7"/>
  <c r="G54" i="7"/>
  <c r="F54" i="7"/>
  <c r="F56" i="7" s="1"/>
  <c r="E54" i="7"/>
  <c r="D54" i="7"/>
  <c r="C54" i="7"/>
  <c r="L53" i="7"/>
  <c r="L56" i="7" s="1"/>
  <c r="L27" i="8" s="1"/>
  <c r="K53" i="7"/>
  <c r="J53" i="7"/>
  <c r="J56" i="7" s="1"/>
  <c r="I53" i="7"/>
  <c r="I56" i="7" s="1"/>
  <c r="H53" i="7"/>
  <c r="G53" i="7"/>
  <c r="F53" i="7"/>
  <c r="E53" i="7"/>
  <c r="E56" i="7" s="1"/>
  <c r="D53" i="7"/>
  <c r="D56" i="7" s="1"/>
  <c r="C53" i="7"/>
  <c r="G52" i="7"/>
  <c r="D52" i="7"/>
  <c r="D58" i="7" s="1"/>
  <c r="L51" i="7"/>
  <c r="K51" i="7"/>
  <c r="J51" i="7"/>
  <c r="I51" i="7"/>
  <c r="H51" i="7"/>
  <c r="G51" i="7"/>
  <c r="F51" i="7"/>
  <c r="E51" i="7"/>
  <c r="D51" i="7"/>
  <c r="C51" i="7"/>
  <c r="L50" i="7"/>
  <c r="K50" i="7"/>
  <c r="J50" i="7"/>
  <c r="I50" i="7"/>
  <c r="H50" i="7"/>
  <c r="G50" i="7"/>
  <c r="F50" i="7"/>
  <c r="E50" i="7"/>
  <c r="E52" i="7" s="1"/>
  <c r="E58" i="7" s="1"/>
  <c r="D50" i="7"/>
  <c r="C50" i="7"/>
  <c r="L49" i="7"/>
  <c r="L52" i="7" s="1"/>
  <c r="L58" i="7" s="1"/>
  <c r="K49" i="7"/>
  <c r="J49" i="7"/>
  <c r="I49" i="7"/>
  <c r="H49" i="7"/>
  <c r="G49" i="7"/>
  <c r="F49" i="7"/>
  <c r="E49" i="7"/>
  <c r="D49" i="7"/>
  <c r="C49" i="7"/>
  <c r="L48" i="7"/>
  <c r="K48" i="7"/>
  <c r="J48" i="7"/>
  <c r="I48" i="7"/>
  <c r="I52" i="7" s="1"/>
  <c r="H48" i="7"/>
  <c r="H52" i="7" s="1"/>
  <c r="H58" i="7" s="1"/>
  <c r="G48" i="7"/>
  <c r="F48" i="7"/>
  <c r="F52" i="7" s="1"/>
  <c r="E48" i="7"/>
  <c r="D48" i="7"/>
  <c r="C48" i="7"/>
  <c r="L46" i="7"/>
  <c r="K46" i="7"/>
  <c r="J46" i="7"/>
  <c r="I46" i="7"/>
  <c r="H46" i="7"/>
  <c r="G46" i="7"/>
  <c r="F46" i="7"/>
  <c r="E46" i="7"/>
  <c r="D46" i="7"/>
  <c r="C46" i="7"/>
  <c r="L44" i="7"/>
  <c r="K44" i="7"/>
  <c r="J44" i="7"/>
  <c r="I44" i="7"/>
  <c r="H44" i="7"/>
  <c r="G44" i="7"/>
  <c r="F44" i="7"/>
  <c r="E44" i="7"/>
  <c r="D44" i="7"/>
  <c r="C44" i="7"/>
  <c r="L38" i="7"/>
  <c r="K38" i="7"/>
  <c r="J38" i="7"/>
  <c r="I38" i="7"/>
  <c r="H38" i="7"/>
  <c r="G38" i="7"/>
  <c r="F38" i="7"/>
  <c r="E38" i="7"/>
  <c r="D38" i="7"/>
  <c r="C38" i="7"/>
  <c r="L37" i="7"/>
  <c r="K37" i="7"/>
  <c r="B45" i="9" s="1"/>
  <c r="J37" i="7"/>
  <c r="I37" i="7"/>
  <c r="H37" i="7"/>
  <c r="G37" i="7"/>
  <c r="F37" i="7"/>
  <c r="E37" i="7"/>
  <c r="D37" i="7"/>
  <c r="C37" i="7"/>
  <c r="L36" i="7"/>
  <c r="L33" i="8" s="1" a="1"/>
  <c r="L33" i="8" s="1"/>
  <c r="K36" i="7"/>
  <c r="B44" i="9" s="1"/>
  <c r="J36" i="7"/>
  <c r="J33" i="8" s="1" a="1"/>
  <c r="J33" i="8" s="1"/>
  <c r="I36" i="7"/>
  <c r="H36" i="7"/>
  <c r="G36" i="7"/>
  <c r="F36" i="7"/>
  <c r="E36" i="7"/>
  <c r="E33" i="8" s="1" a="1"/>
  <c r="E33" i="8" s="1"/>
  <c r="D36" i="7"/>
  <c r="D33" i="8" s="1" a="1"/>
  <c r="D33" i="8" s="1"/>
  <c r="C36" i="7"/>
  <c r="L30" i="7"/>
  <c r="K30" i="7"/>
  <c r="J30" i="7"/>
  <c r="I30" i="7"/>
  <c r="H30" i="7"/>
  <c r="G30" i="7"/>
  <c r="F30" i="7"/>
  <c r="E30" i="7"/>
  <c r="D30" i="7"/>
  <c r="C30" i="7"/>
  <c r="L25" i="7"/>
  <c r="K25" i="7"/>
  <c r="J25" i="7"/>
  <c r="I25" i="7"/>
  <c r="H25" i="7"/>
  <c r="G25" i="7"/>
  <c r="F25" i="7"/>
  <c r="E25" i="7"/>
  <c r="D25" i="7"/>
  <c r="C25" i="7"/>
  <c r="L20" i="7"/>
  <c r="K20" i="7"/>
  <c r="J20" i="7"/>
  <c r="I20" i="7"/>
  <c r="H20" i="7"/>
  <c r="G20" i="7"/>
  <c r="F23" i="9" s="1"/>
  <c r="F20" i="7"/>
  <c r="E23" i="9" s="1"/>
  <c r="E20" i="7"/>
  <c r="D23" i="9" s="1"/>
  <c r="D20" i="7"/>
  <c r="C23" i="9" s="1"/>
  <c r="C20" i="7"/>
  <c r="B23" i="9" s="1"/>
  <c r="G17" i="7"/>
  <c r="G18" i="7" s="1"/>
  <c r="G7" i="8" s="1"/>
  <c r="D17" i="7"/>
  <c r="D18" i="7" s="1"/>
  <c r="D7" i="8" s="1"/>
  <c r="L15" i="7"/>
  <c r="K15" i="7"/>
  <c r="J15" i="7"/>
  <c r="I15" i="7"/>
  <c r="I17" i="7" s="1"/>
  <c r="H15" i="7"/>
  <c r="G15" i="7"/>
  <c r="F15" i="7"/>
  <c r="E15" i="7"/>
  <c r="D15" i="7"/>
  <c r="C15" i="7"/>
  <c r="L12" i="7"/>
  <c r="L13" i="7" s="1"/>
  <c r="L6" i="8" s="1"/>
  <c r="I12" i="7"/>
  <c r="I13" i="7" s="1"/>
  <c r="I6" i="8" s="1"/>
  <c r="G12" i="7"/>
  <c r="G13" i="7" s="1"/>
  <c r="G6" i="8" s="1"/>
  <c r="D12" i="7"/>
  <c r="D13" i="7" s="1"/>
  <c r="D6" i="8" s="1"/>
  <c r="L10" i="7"/>
  <c r="L21" i="8" s="1"/>
  <c r="L38" i="8" s="1"/>
  <c r="K10" i="7"/>
  <c r="J10" i="7"/>
  <c r="I10" i="7"/>
  <c r="H10" i="7"/>
  <c r="G10" i="7"/>
  <c r="F10" i="7"/>
  <c r="E10" i="7"/>
  <c r="D10" i="7"/>
  <c r="D23" i="8" s="1"/>
  <c r="C10" i="7"/>
  <c r="G8" i="7"/>
  <c r="D8" i="7"/>
  <c r="L7" i="7"/>
  <c r="K7" i="7"/>
  <c r="J7" i="7"/>
  <c r="I7" i="7"/>
  <c r="H7" i="7"/>
  <c r="G7" i="7"/>
  <c r="F7" i="7"/>
  <c r="E7" i="7"/>
  <c r="D7" i="7"/>
  <c r="C7" i="7"/>
  <c r="M3" i="7"/>
  <c r="L3" i="7"/>
  <c r="K3" i="7"/>
  <c r="J3" i="7"/>
  <c r="I3" i="7"/>
  <c r="H3" i="7"/>
  <c r="G3" i="7"/>
  <c r="F3" i="7"/>
  <c r="E3" i="7"/>
  <c r="D3" i="7"/>
  <c r="M50" i="7" s="1"/>
  <c r="C3" i="7"/>
  <c r="B2" i="7"/>
  <c r="K7" i="5"/>
  <c r="J7" i="5"/>
  <c r="I7" i="5"/>
  <c r="H7" i="5"/>
  <c r="G7" i="5"/>
  <c r="F7" i="5"/>
  <c r="E7" i="5"/>
  <c r="D7" i="5"/>
  <c r="C7" i="5"/>
  <c r="B7" i="5"/>
  <c r="K6" i="5"/>
  <c r="J6" i="5"/>
  <c r="I6" i="5"/>
  <c r="H6" i="5"/>
  <c r="G6" i="5"/>
  <c r="F6" i="5"/>
  <c r="E6" i="5"/>
  <c r="D6" i="5"/>
  <c r="C6" i="5"/>
  <c r="B6" i="5"/>
  <c r="K5" i="5"/>
  <c r="J5" i="5"/>
  <c r="I5" i="5"/>
  <c r="H5" i="5"/>
  <c r="G5" i="5"/>
  <c r="F5" i="5"/>
  <c r="E5" i="5"/>
  <c r="D5" i="5"/>
  <c r="C5" i="5"/>
  <c r="B5" i="5"/>
  <c r="K4" i="5"/>
  <c r="J4" i="5"/>
  <c r="I4" i="5"/>
  <c r="H4" i="5"/>
  <c r="G4" i="5"/>
  <c r="F4" i="5"/>
  <c r="E4" i="5"/>
  <c r="D4" i="5"/>
  <c r="C4" i="5"/>
  <c r="B4" i="5"/>
  <c r="K3" i="5"/>
  <c r="J3" i="5"/>
  <c r="I3" i="5"/>
  <c r="H3" i="5"/>
  <c r="G3" i="5"/>
  <c r="F3" i="5"/>
  <c r="E3" i="5"/>
  <c r="D3" i="5"/>
  <c r="C3" i="5"/>
  <c r="B3" i="5"/>
  <c r="E1" i="5"/>
  <c r="K23" i="4"/>
  <c r="K21" i="4"/>
  <c r="J21" i="4"/>
  <c r="H21" i="4"/>
  <c r="E21" i="4"/>
  <c r="C21" i="4"/>
  <c r="E20" i="4"/>
  <c r="K18" i="4"/>
  <c r="J18" i="4"/>
  <c r="I18" i="4"/>
  <c r="I21" i="4" s="1"/>
  <c r="H18" i="4"/>
  <c r="G18" i="4"/>
  <c r="G21" i="4" s="1"/>
  <c r="F18" i="4"/>
  <c r="F21" i="4" s="1"/>
  <c r="E18" i="4"/>
  <c r="D18" i="4"/>
  <c r="D21" i="4" s="1"/>
  <c r="C18" i="4"/>
  <c r="B18" i="4"/>
  <c r="K17" i="4"/>
  <c r="J17" i="4"/>
  <c r="I17" i="4"/>
  <c r="H17" i="4"/>
  <c r="G17" i="4"/>
  <c r="F17" i="4"/>
  <c r="E17" i="4"/>
  <c r="D17" i="4"/>
  <c r="C17" i="4"/>
  <c r="B17" i="4"/>
  <c r="J16" i="4"/>
  <c r="H16" i="4"/>
  <c r="E16" i="4"/>
  <c r="C16" i="4"/>
  <c r="B16" i="4"/>
  <c r="K14" i="4"/>
  <c r="J14" i="4"/>
  <c r="I14" i="4"/>
  <c r="H14" i="4"/>
  <c r="G14" i="4"/>
  <c r="F14" i="4"/>
  <c r="E14" i="4"/>
  <c r="D14" i="4"/>
  <c r="C14" i="4"/>
  <c r="B14" i="4"/>
  <c r="K13" i="4"/>
  <c r="J13" i="4"/>
  <c r="I13" i="4"/>
  <c r="H13" i="4"/>
  <c r="G13" i="4"/>
  <c r="G16" i="4" s="1"/>
  <c r="F13" i="4"/>
  <c r="F16" i="4" s="1"/>
  <c r="E13" i="4"/>
  <c r="D13" i="4"/>
  <c r="D16" i="4" s="1"/>
  <c r="C13" i="4"/>
  <c r="B13" i="4"/>
  <c r="K12" i="4"/>
  <c r="J12" i="4"/>
  <c r="I12" i="4"/>
  <c r="H12" i="4"/>
  <c r="G12" i="4"/>
  <c r="F12" i="4"/>
  <c r="E12" i="4"/>
  <c r="D12" i="4"/>
  <c r="C12" i="4"/>
  <c r="B12" i="4"/>
  <c r="K11" i="4"/>
  <c r="J11" i="4"/>
  <c r="I11" i="4"/>
  <c r="H11" i="4"/>
  <c r="G11" i="4"/>
  <c r="F11" i="4"/>
  <c r="E11" i="4"/>
  <c r="D11" i="4"/>
  <c r="C11" i="4"/>
  <c r="B11" i="4"/>
  <c r="K10" i="4"/>
  <c r="J10" i="4"/>
  <c r="I10" i="4"/>
  <c r="H10" i="4"/>
  <c r="G10" i="4"/>
  <c r="F10" i="4"/>
  <c r="E10" i="4"/>
  <c r="D10" i="4"/>
  <c r="C10" i="4"/>
  <c r="B10" i="4"/>
  <c r="K8" i="4"/>
  <c r="J8" i="4"/>
  <c r="I8" i="4"/>
  <c r="H8" i="4"/>
  <c r="G8" i="4"/>
  <c r="F8" i="4"/>
  <c r="E8" i="4"/>
  <c r="D8" i="4"/>
  <c r="C8" i="4"/>
  <c r="B8" i="4"/>
  <c r="K7" i="4"/>
  <c r="K16" i="4" s="1"/>
  <c r="J7" i="4"/>
  <c r="I7" i="4"/>
  <c r="H7" i="4"/>
  <c r="G7" i="4"/>
  <c r="F7" i="4"/>
  <c r="E7" i="4"/>
  <c r="D7" i="4"/>
  <c r="C7" i="4"/>
  <c r="B7" i="4"/>
  <c r="K6" i="4"/>
  <c r="J6" i="4"/>
  <c r="I6" i="4"/>
  <c r="H6" i="4"/>
  <c r="G6" i="4"/>
  <c r="F6" i="4"/>
  <c r="E6" i="4"/>
  <c r="D6" i="4"/>
  <c r="C6" i="4"/>
  <c r="B6" i="4"/>
  <c r="K5" i="4"/>
  <c r="J5" i="4"/>
  <c r="I5" i="4"/>
  <c r="H5" i="4"/>
  <c r="G5" i="4"/>
  <c r="F5" i="4"/>
  <c r="E5" i="4"/>
  <c r="D5" i="4"/>
  <c r="C5" i="4"/>
  <c r="B5" i="4"/>
  <c r="K4" i="4"/>
  <c r="J4" i="4"/>
  <c r="I4" i="4"/>
  <c r="I23" i="4" s="1"/>
  <c r="H4" i="4"/>
  <c r="G4" i="4"/>
  <c r="G23" i="4" s="1"/>
  <c r="F4" i="4"/>
  <c r="F23" i="4" s="1"/>
  <c r="E4" i="4"/>
  <c r="D4" i="4"/>
  <c r="E24" i="4" s="1"/>
  <c r="C4" i="4"/>
  <c r="B4" i="4"/>
  <c r="K3" i="4"/>
  <c r="J3" i="4"/>
  <c r="I3" i="4"/>
  <c r="H3" i="4"/>
  <c r="G3" i="4"/>
  <c r="F3" i="4"/>
  <c r="E3" i="4"/>
  <c r="D3" i="4"/>
  <c r="C3" i="4"/>
  <c r="B3" i="4"/>
  <c r="E1" i="4"/>
  <c r="E14" i="3"/>
  <c r="B14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L11" i="2" s="1"/>
  <c r="G11" i="3"/>
  <c r="F11" i="3"/>
  <c r="E11" i="3"/>
  <c r="D11" i="3"/>
  <c r="C11" i="3"/>
  <c r="B11" i="3"/>
  <c r="K10" i="3"/>
  <c r="J10" i="3"/>
  <c r="I10" i="3"/>
  <c r="H10" i="3"/>
  <c r="L10" i="2" s="1"/>
  <c r="G10" i="3"/>
  <c r="F10" i="3"/>
  <c r="E10" i="3"/>
  <c r="D10" i="3"/>
  <c r="C10" i="3"/>
  <c r="B10" i="3"/>
  <c r="K9" i="3"/>
  <c r="J9" i="3"/>
  <c r="I9" i="3"/>
  <c r="H9" i="3"/>
  <c r="L9" i="2" s="1"/>
  <c r="N9" i="2" s="1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L7" i="2" s="1"/>
  <c r="G7" i="3"/>
  <c r="F7" i="3"/>
  <c r="E7" i="3"/>
  <c r="D7" i="3"/>
  <c r="C7" i="3"/>
  <c r="B7" i="3"/>
  <c r="K6" i="3"/>
  <c r="J6" i="3"/>
  <c r="J14" i="3" s="1"/>
  <c r="I6" i="3"/>
  <c r="H6" i="3"/>
  <c r="H14" i="3" s="1"/>
  <c r="G6" i="3"/>
  <c r="F6" i="3"/>
  <c r="E6" i="3"/>
  <c r="D6" i="3"/>
  <c r="C6" i="3"/>
  <c r="B6" i="3"/>
  <c r="K5" i="3"/>
  <c r="J5" i="3"/>
  <c r="L5" i="2" s="1"/>
  <c r="I5" i="3"/>
  <c r="H5" i="3"/>
  <c r="G5" i="3"/>
  <c r="F5" i="3"/>
  <c r="E5" i="3"/>
  <c r="D5" i="3"/>
  <c r="C5" i="3"/>
  <c r="B5" i="3"/>
  <c r="K4" i="3"/>
  <c r="J4" i="3"/>
  <c r="I4" i="3"/>
  <c r="I14" i="3" s="1"/>
  <c r="H4" i="3"/>
  <c r="G4" i="3"/>
  <c r="G14" i="3" s="1"/>
  <c r="F4" i="3"/>
  <c r="F14" i="3" s="1"/>
  <c r="E4" i="3"/>
  <c r="D4" i="3"/>
  <c r="D14" i="3" s="1"/>
  <c r="C4" i="3"/>
  <c r="B4" i="3"/>
  <c r="K3" i="3"/>
  <c r="J3" i="3"/>
  <c r="I3" i="3"/>
  <c r="H3" i="3"/>
  <c r="G3" i="3"/>
  <c r="F3" i="3"/>
  <c r="E3" i="3"/>
  <c r="D3" i="3"/>
  <c r="C3" i="3"/>
  <c r="B3" i="3"/>
  <c r="E1" i="3"/>
  <c r="K23" i="2"/>
  <c r="K18" i="2"/>
  <c r="J18" i="2"/>
  <c r="I18" i="2"/>
  <c r="H18" i="2"/>
  <c r="G18" i="2"/>
  <c r="F18" i="2"/>
  <c r="E18" i="2"/>
  <c r="D18" i="2"/>
  <c r="C18" i="2"/>
  <c r="B18" i="2"/>
  <c r="L15" i="2"/>
  <c r="K15" i="2"/>
  <c r="J15" i="2"/>
  <c r="J14" i="2" s="1"/>
  <c r="I15" i="2"/>
  <c r="H15" i="2"/>
  <c r="G15" i="2"/>
  <c r="F15" i="2"/>
  <c r="E15" i="2"/>
  <c r="E14" i="2" s="1"/>
  <c r="D15" i="2"/>
  <c r="C15" i="2"/>
  <c r="B15" i="2"/>
  <c r="B14" i="2" s="1"/>
  <c r="H14" i="2"/>
  <c r="G13" i="2"/>
  <c r="G14" i="2" s="1"/>
  <c r="F13" i="2"/>
  <c r="F14" i="2" s="1"/>
  <c r="E13" i="2"/>
  <c r="D13" i="2"/>
  <c r="D14" i="2" s="1"/>
  <c r="L12" i="2"/>
  <c r="L13" i="2" s="1"/>
  <c r="L14" i="2" s="1"/>
  <c r="L25" i="2" s="1"/>
  <c r="K12" i="2"/>
  <c r="K13" i="2" s="1"/>
  <c r="J12" i="2"/>
  <c r="J13" i="2" s="1"/>
  <c r="I12" i="2"/>
  <c r="I13" i="2" s="1"/>
  <c r="H12" i="2"/>
  <c r="H13" i="2" s="1"/>
  <c r="G12" i="2"/>
  <c r="F12" i="2"/>
  <c r="E12" i="2"/>
  <c r="D12" i="2"/>
  <c r="C12" i="2"/>
  <c r="C13" i="2" s="1"/>
  <c r="B12" i="2"/>
  <c r="B13" i="2" s="1"/>
  <c r="K11" i="2"/>
  <c r="J11" i="2"/>
  <c r="I11" i="2"/>
  <c r="H11" i="2"/>
  <c r="G11" i="2"/>
  <c r="F11" i="2"/>
  <c r="E11" i="2"/>
  <c r="D11" i="2"/>
  <c r="C11" i="2"/>
  <c r="B11" i="2"/>
  <c r="K10" i="2"/>
  <c r="J10" i="2"/>
  <c r="I10" i="2"/>
  <c r="H10" i="2"/>
  <c r="G10" i="2"/>
  <c r="F10" i="2"/>
  <c r="E10" i="2"/>
  <c r="D10" i="2"/>
  <c r="C10" i="2"/>
  <c r="B10" i="2"/>
  <c r="K9" i="2"/>
  <c r="J9" i="2"/>
  <c r="I9" i="2"/>
  <c r="H9" i="2"/>
  <c r="G9" i="2"/>
  <c r="F9" i="2"/>
  <c r="E9" i="2"/>
  <c r="D9" i="2"/>
  <c r="C9" i="2"/>
  <c r="B9" i="2"/>
  <c r="L8" i="2"/>
  <c r="N8" i="2" s="1"/>
  <c r="K8" i="2"/>
  <c r="J8" i="2"/>
  <c r="I8" i="2"/>
  <c r="H8" i="2"/>
  <c r="G8" i="2"/>
  <c r="F8" i="2"/>
  <c r="E8" i="2"/>
  <c r="D8" i="2"/>
  <c r="C8" i="2"/>
  <c r="B8" i="2"/>
  <c r="K7" i="2"/>
  <c r="J7" i="2"/>
  <c r="I7" i="2"/>
  <c r="H7" i="2"/>
  <c r="G7" i="2"/>
  <c r="F7" i="2"/>
  <c r="E7" i="2"/>
  <c r="D7" i="2"/>
  <c r="C7" i="2"/>
  <c r="B7" i="2"/>
  <c r="H6" i="2"/>
  <c r="H19" i="2" s="1"/>
  <c r="G6" i="2"/>
  <c r="G19" i="2" s="1"/>
  <c r="E6" i="2"/>
  <c r="E19" i="2" s="1"/>
  <c r="K5" i="2"/>
  <c r="J5" i="2"/>
  <c r="J6" i="2" s="1"/>
  <c r="J19" i="2" s="1"/>
  <c r="I5" i="2"/>
  <c r="H5" i="2"/>
  <c r="G5" i="2"/>
  <c r="F5" i="2"/>
  <c r="E5" i="2"/>
  <c r="D5" i="2"/>
  <c r="C5" i="2"/>
  <c r="B5" i="2"/>
  <c r="L4" i="2"/>
  <c r="K4" i="2"/>
  <c r="K20" i="4" s="1"/>
  <c r="J4" i="2"/>
  <c r="J20" i="4" s="1"/>
  <c r="I4" i="2"/>
  <c r="H4" i="2"/>
  <c r="G4" i="2"/>
  <c r="F4" i="2"/>
  <c r="F6" i="2" s="1"/>
  <c r="F19" i="2" s="1"/>
  <c r="E4" i="2"/>
  <c r="D4" i="2"/>
  <c r="I23" i="2" s="1"/>
  <c r="C4" i="2"/>
  <c r="C20" i="4" s="1"/>
  <c r="B4" i="2"/>
  <c r="B21" i="4" s="1"/>
  <c r="K3" i="2"/>
  <c r="J3" i="2"/>
  <c r="I3" i="2"/>
  <c r="H3" i="2"/>
  <c r="G3" i="2"/>
  <c r="F3" i="2"/>
  <c r="E3" i="2"/>
  <c r="D3" i="2"/>
  <c r="C3" i="2"/>
  <c r="B3" i="2"/>
  <c r="H1" i="2"/>
  <c r="A1" i="2"/>
  <c r="A1" i="4" s="1"/>
  <c r="A1" i="5" s="1"/>
  <c r="K10" i="1"/>
  <c r="J10" i="1"/>
  <c r="I10" i="1"/>
  <c r="H10" i="1"/>
  <c r="G10" i="1"/>
  <c r="B6" i="1"/>
  <c r="B2" i="1"/>
  <c r="I18" i="7" l="1"/>
  <c r="I7" i="8" s="1"/>
  <c r="I22" i="7"/>
  <c r="I14" i="2"/>
  <c r="K25" i="2" s="1"/>
  <c r="M25" i="2" s="1"/>
  <c r="M14" i="2" s="1"/>
  <c r="N11" i="2"/>
  <c r="M11" i="2"/>
  <c r="M7" i="7"/>
  <c r="M9" i="2"/>
  <c r="H23" i="2"/>
  <c r="C14" i="3"/>
  <c r="K14" i="3"/>
  <c r="I24" i="4"/>
  <c r="B20" i="4"/>
  <c r="F8" i="7"/>
  <c r="C21" i="8"/>
  <c r="C38" i="8" s="1"/>
  <c r="K21" i="8"/>
  <c r="K38" i="8" s="1"/>
  <c r="M40" i="7"/>
  <c r="M42" i="7"/>
  <c r="F26" i="8"/>
  <c r="F27" i="8"/>
  <c r="E19" i="8"/>
  <c r="E22" i="8"/>
  <c r="E12" i="7"/>
  <c r="E20" i="8"/>
  <c r="E37" i="8" s="1"/>
  <c r="J23" i="2"/>
  <c r="F20" i="4"/>
  <c r="I16" i="4"/>
  <c r="D20" i="4"/>
  <c r="G24" i="4"/>
  <c r="C14" i="2"/>
  <c r="H25" i="2" s="1"/>
  <c r="K14" i="2"/>
  <c r="C24" i="4"/>
  <c r="K24" i="4"/>
  <c r="H24" i="4"/>
  <c r="H22" i="8"/>
  <c r="C19" i="9"/>
  <c r="H19" i="8"/>
  <c r="H8" i="7"/>
  <c r="H20" i="8"/>
  <c r="H37" i="8" s="1"/>
  <c r="H12" i="7"/>
  <c r="E21" i="8"/>
  <c r="E38" i="8" s="1"/>
  <c r="E23" i="8"/>
  <c r="E24" i="9"/>
  <c r="H20" i="4"/>
  <c r="G20" i="4"/>
  <c r="F21" i="8"/>
  <c r="F38" i="8" s="1"/>
  <c r="F23" i="8"/>
  <c r="G58" i="7"/>
  <c r="G15" i="8" s="1"/>
  <c r="I27" i="8"/>
  <c r="I26" i="8"/>
  <c r="D23" i="4"/>
  <c r="J20" i="8"/>
  <c r="J37" i="8" s="1"/>
  <c r="E19" i="9"/>
  <c r="E20" i="9" s="1"/>
  <c r="J22" i="8"/>
  <c r="J12" i="7"/>
  <c r="J8" i="7"/>
  <c r="M46" i="7"/>
  <c r="E8" i="7"/>
  <c r="A1" i="3"/>
  <c r="D24" i="4"/>
  <c r="J24" i="4"/>
  <c r="I8" i="7"/>
  <c r="D22" i="7"/>
  <c r="F58" i="7"/>
  <c r="I20" i="4"/>
  <c r="I6" i="2"/>
  <c r="I19" i="2" s="1"/>
  <c r="J24" i="2" s="1"/>
  <c r="L6" i="2"/>
  <c r="L19" i="2" s="1"/>
  <c r="L24" i="2" s="1"/>
  <c r="M8" i="2"/>
  <c r="L23" i="2"/>
  <c r="M23" i="2" s="1"/>
  <c r="M4" i="2" s="1"/>
  <c r="B6" i="2"/>
  <c r="B19" i="2" s="1"/>
  <c r="H24" i="2" s="1"/>
  <c r="F24" i="4"/>
  <c r="H23" i="4"/>
  <c r="C22" i="8"/>
  <c r="C20" i="8"/>
  <c r="C37" i="8" s="1"/>
  <c r="C12" i="7"/>
  <c r="F19" i="9"/>
  <c r="F24" i="9" s="1"/>
  <c r="J5" i="11"/>
  <c r="K20" i="8"/>
  <c r="K37" i="8" s="1"/>
  <c r="K22" i="8"/>
  <c r="K8" i="7"/>
  <c r="K12" i="7"/>
  <c r="L8" i="7"/>
  <c r="H21" i="8"/>
  <c r="H38" i="8" s="1"/>
  <c r="H23" i="8"/>
  <c r="L17" i="7"/>
  <c r="G22" i="7"/>
  <c r="G33" i="8" a="1"/>
  <c r="G33" i="8" s="1"/>
  <c r="G14" i="8"/>
  <c r="I14" i="8"/>
  <c r="I15" i="8"/>
  <c r="M10" i="7"/>
  <c r="C23" i="4"/>
  <c r="G26" i="8"/>
  <c r="G27" i="8"/>
  <c r="D6" i="2"/>
  <c r="D19" i="2" s="1"/>
  <c r="F12" i="7"/>
  <c r="I58" i="7"/>
  <c r="M36" i="7"/>
  <c r="B23" i="4"/>
  <c r="J23" i="4"/>
  <c r="D19" i="8"/>
  <c r="D22" i="8"/>
  <c r="D20" i="8"/>
  <c r="D37" i="8" s="1"/>
  <c r="L19" i="8"/>
  <c r="L20" i="8"/>
  <c r="L37" i="8" s="1"/>
  <c r="L40" i="8" s="1"/>
  <c r="L22" i="8"/>
  <c r="G21" i="8"/>
  <c r="G38" i="8" s="1"/>
  <c r="G23" i="8"/>
  <c r="M20" i="7"/>
  <c r="H15" i="8"/>
  <c r="H14" i="8"/>
  <c r="J100" i="7"/>
  <c r="Q3" i="8"/>
  <c r="M93" i="7"/>
  <c r="M85" i="7"/>
  <c r="M92" i="7"/>
  <c r="M87" i="7"/>
  <c r="M73" i="7"/>
  <c r="M65" i="7"/>
  <c r="M88" i="7"/>
  <c r="M83" i="7"/>
  <c r="M74" i="7"/>
  <c r="M68" i="7"/>
  <c r="M97" i="7"/>
  <c r="M81" i="7"/>
  <c r="M71" i="7"/>
  <c r="M63" i="7"/>
  <c r="M49" i="7"/>
  <c r="M38" i="7"/>
  <c r="M95" i="7"/>
  <c r="M79" i="7"/>
  <c r="M66" i="7"/>
  <c r="M96" i="7"/>
  <c r="M82" i="7"/>
  <c r="M80" i="7"/>
  <c r="M67" i="7"/>
  <c r="M56" i="7"/>
  <c r="M94" i="7"/>
  <c r="M78" i="7"/>
  <c r="M70" i="7"/>
  <c r="F20" i="8"/>
  <c r="F37" i="8" s="1"/>
  <c r="F40" i="8" s="1"/>
  <c r="F22" i="8"/>
  <c r="I23" i="8"/>
  <c r="I21" i="8"/>
  <c r="I38" i="8" s="1"/>
  <c r="M30" i="7"/>
  <c r="H33" i="8" a="1"/>
  <c r="H33" i="8" s="1"/>
  <c r="J14" i="8"/>
  <c r="J15" i="8"/>
  <c r="J26" i="8"/>
  <c r="J27" i="8"/>
  <c r="H27" i="8"/>
  <c r="H26" i="8"/>
  <c r="M69" i="7"/>
  <c r="F19" i="8"/>
  <c r="E23" i="4"/>
  <c r="N3" i="7"/>
  <c r="G20" i="8"/>
  <c r="G37" i="8" s="1"/>
  <c r="B19" i="9"/>
  <c r="B24" i="9" s="1"/>
  <c r="G19" i="8"/>
  <c r="J23" i="8"/>
  <c r="J21" i="8"/>
  <c r="J38" i="8" s="1"/>
  <c r="M15" i="7"/>
  <c r="I33" i="8" a="1"/>
  <c r="I33" i="8" s="1"/>
  <c r="C14" i="8"/>
  <c r="H3" i="9"/>
  <c r="K15" i="8"/>
  <c r="K14" i="8"/>
  <c r="J52" i="7"/>
  <c r="J58" i="7" s="1"/>
  <c r="J19" i="8" s="1"/>
  <c r="C56" i="7"/>
  <c r="K56" i="7"/>
  <c r="M64" i="7"/>
  <c r="M84" i="7"/>
  <c r="K33" i="8" a="1"/>
  <c r="K33" i="8" s="1"/>
  <c r="D14" i="8"/>
  <c r="G5" i="11"/>
  <c r="H5" i="11" s="1"/>
  <c r="L14" i="8"/>
  <c r="D12" i="1" s="1"/>
  <c r="L15" i="8"/>
  <c r="M43" i="7"/>
  <c r="C52" i="7"/>
  <c r="C58" i="7" s="1"/>
  <c r="C19" i="8" s="1"/>
  <c r="K52" i="7"/>
  <c r="K58" i="7" s="1"/>
  <c r="K19" i="8" s="1"/>
  <c r="D27" i="8"/>
  <c r="D26" i="8"/>
  <c r="M77" i="7"/>
  <c r="M91" i="7"/>
  <c r="D15" i="8"/>
  <c r="L26" i="8"/>
  <c r="D14" i="1" s="1"/>
  <c r="C6" i="2"/>
  <c r="C19" i="2" s="1"/>
  <c r="K6" i="2"/>
  <c r="K19" i="2" s="1"/>
  <c r="I22" i="8"/>
  <c r="I19" i="8"/>
  <c r="I20" i="8"/>
  <c r="I37" i="8" s="1"/>
  <c r="D19" i="9"/>
  <c r="D24" i="9" s="1"/>
  <c r="D21" i="8"/>
  <c r="D38" i="8" s="1"/>
  <c r="L23" i="8"/>
  <c r="M12" i="7"/>
  <c r="M13" i="7" s="1"/>
  <c r="M6" i="8" s="1"/>
  <c r="M25" i="7"/>
  <c r="C33" i="8" a="1"/>
  <c r="C33" i="8" s="1"/>
  <c r="B46" i="9"/>
  <c r="B48" i="9" s="1"/>
  <c r="E15" i="8"/>
  <c r="E14" i="8"/>
  <c r="M41" i="7"/>
  <c r="E26" i="8"/>
  <c r="E27" i="8"/>
  <c r="M53" i="7"/>
  <c r="M55" i="7"/>
  <c r="M72" i="7"/>
  <c r="M98" i="7"/>
  <c r="G22" i="8"/>
  <c r="M37" i="7"/>
  <c r="F15" i="8"/>
  <c r="M48" i="7"/>
  <c r="M51" i="7"/>
  <c r="M86" i="7"/>
  <c r="C100" i="7"/>
  <c r="M100" i="7" s="1"/>
  <c r="K100" i="7"/>
  <c r="O21" i="11"/>
  <c r="P21" i="11"/>
  <c r="O8" i="11"/>
  <c r="O7" i="11"/>
  <c r="O6" i="11"/>
  <c r="J40" i="8" l="1"/>
  <c r="C40" i="8"/>
  <c r="G40" i="8"/>
  <c r="D40" i="8"/>
  <c r="K40" i="8"/>
  <c r="O5" i="11"/>
  <c r="J17" i="7"/>
  <c r="J13" i="7"/>
  <c r="J6" i="8" s="1"/>
  <c r="C20" i="9"/>
  <c r="C13" i="7"/>
  <c r="C6" i="8" s="1"/>
  <c r="C17" i="7"/>
  <c r="H5" i="9"/>
  <c r="H6" i="9" s="1"/>
  <c r="H7" i="9"/>
  <c r="F13" i="7"/>
  <c r="F6" i="8" s="1"/>
  <c r="F17" i="7"/>
  <c r="K13" i="7"/>
  <c r="K6" i="8" s="1"/>
  <c r="K17" i="7"/>
  <c r="K23" i="8"/>
  <c r="N23" i="2"/>
  <c r="N4" i="2" s="1"/>
  <c r="I23" i="7"/>
  <c r="I8" i="8" s="1"/>
  <c r="D21" i="9"/>
  <c r="D22" i="9" s="1"/>
  <c r="I16" i="8"/>
  <c r="I27" i="7"/>
  <c r="M14" i="8"/>
  <c r="C15" i="8"/>
  <c r="N96" i="7"/>
  <c r="N80" i="7"/>
  <c r="N88" i="7"/>
  <c r="N85" i="7"/>
  <c r="N83" i="7"/>
  <c r="N74" i="7"/>
  <c r="N68" i="7"/>
  <c r="N97" i="7"/>
  <c r="N81" i="7"/>
  <c r="N71" i="7"/>
  <c r="N63" i="7"/>
  <c r="N95" i="7"/>
  <c r="N79" i="7"/>
  <c r="N66" i="7"/>
  <c r="N50" i="7"/>
  <c r="N42" i="7"/>
  <c r="N98" i="7"/>
  <c r="N93" i="7"/>
  <c r="N91" i="7"/>
  <c r="N86" i="7"/>
  <c r="N77" i="7"/>
  <c r="N69" i="7"/>
  <c r="N100" i="7"/>
  <c r="N94" i="7"/>
  <c r="N78" i="7"/>
  <c r="N70" i="7"/>
  <c r="N58" i="7"/>
  <c r="N92" i="7"/>
  <c r="N87" i="7"/>
  <c r="N73" i="7"/>
  <c r="N65" i="7"/>
  <c r="N46" i="7"/>
  <c r="N41" i="7"/>
  <c r="N72" i="7"/>
  <c r="N55" i="7"/>
  <c r="N28" i="8" s="1"/>
  <c r="N53" i="7"/>
  <c r="N43" i="7"/>
  <c r="N38" i="7"/>
  <c r="N84" i="7"/>
  <c r="N64" i="7"/>
  <c r="N49" i="7"/>
  <c r="N56" i="7"/>
  <c r="N30" i="7"/>
  <c r="N40" i="7"/>
  <c r="N7" i="7"/>
  <c r="N52" i="7"/>
  <c r="N36" i="7"/>
  <c r="N67" i="7"/>
  <c r="N51" i="7"/>
  <c r="N48" i="7"/>
  <c r="N37" i="7"/>
  <c r="N15" i="7"/>
  <c r="O3" i="7"/>
  <c r="N25" i="7"/>
  <c r="N10" i="7"/>
  <c r="N12" i="7"/>
  <c r="N13" i="7" s="1"/>
  <c r="N6" i="8" s="1"/>
  <c r="N20" i="7"/>
  <c r="N82" i="7"/>
  <c r="B21" i="9"/>
  <c r="B22" i="9" s="1"/>
  <c r="G16" i="8"/>
  <c r="G23" i="7"/>
  <c r="G8" i="8" s="1"/>
  <c r="G27" i="7"/>
  <c r="K24" i="2"/>
  <c r="M24" i="2" s="1"/>
  <c r="M6" i="2" s="1"/>
  <c r="H17" i="7"/>
  <c r="H13" i="7"/>
  <c r="H6" i="8" s="1"/>
  <c r="C23" i="8"/>
  <c r="P19" i="11"/>
  <c r="O19" i="11"/>
  <c r="H40" i="8"/>
  <c r="E40" i="8"/>
  <c r="J25" i="2"/>
  <c r="M27" i="8"/>
  <c r="M26" i="8"/>
  <c r="I24" i="2"/>
  <c r="N24" i="2" s="1"/>
  <c r="E17" i="7"/>
  <c r="N17" i="7" s="1"/>
  <c r="N18" i="7" s="1"/>
  <c r="N7" i="8" s="1"/>
  <c r="E13" i="7"/>
  <c r="E6" i="8" s="1"/>
  <c r="M44" i="7"/>
  <c r="M19" i="8"/>
  <c r="M22" i="8"/>
  <c r="M20" i="8"/>
  <c r="M37" i="8" s="1"/>
  <c r="M8" i="7"/>
  <c r="G19" i="9"/>
  <c r="O19" i="9"/>
  <c r="B4" i="9" s="1"/>
  <c r="F20" i="9"/>
  <c r="K26" i="8"/>
  <c r="K27" i="8"/>
  <c r="L18" i="7"/>
  <c r="L7" i="8" s="1"/>
  <c r="L22" i="7"/>
  <c r="E45" i="9"/>
  <c r="B49" i="9"/>
  <c r="E47" i="9"/>
  <c r="E44" i="9"/>
  <c r="E46" i="9"/>
  <c r="B50" i="9" s="1"/>
  <c r="D20" i="9"/>
  <c r="C26" i="8"/>
  <c r="C27" i="8"/>
  <c r="M58" i="7"/>
  <c r="M15" i="8" s="1"/>
  <c r="M52" i="7"/>
  <c r="M28" i="8"/>
  <c r="N33" i="8"/>
  <c r="M33" i="8"/>
  <c r="Q33" i="8"/>
  <c r="P33" i="8"/>
  <c r="O33" i="8"/>
  <c r="I40" i="8"/>
  <c r="M23" i="8"/>
  <c r="M21" i="8"/>
  <c r="M38" i="8" s="1"/>
  <c r="D16" i="8"/>
  <c r="D23" i="7"/>
  <c r="D8" i="8" s="1"/>
  <c r="D27" i="7"/>
  <c r="I25" i="2"/>
  <c r="N25" i="2" s="1"/>
  <c r="N14" i="2" s="1"/>
  <c r="C24" i="9"/>
  <c r="B12" i="9" s="1"/>
  <c r="J24" i="9" l="1"/>
  <c r="I24" i="9"/>
  <c r="K24" i="9"/>
  <c r="H24" i="9"/>
  <c r="G24" i="9"/>
  <c r="M10" i="2"/>
  <c r="M12" i="2" s="1"/>
  <c r="M13" i="2" s="1"/>
  <c r="M15" i="2" s="1"/>
  <c r="M5" i="2"/>
  <c r="O13" i="11"/>
  <c r="O10" i="11"/>
  <c r="O15" i="11"/>
  <c r="O12" i="11"/>
  <c r="O18" i="11" s="1"/>
  <c r="O20" i="11" s="1"/>
  <c r="O22" i="11" s="1"/>
  <c r="O14" i="11"/>
  <c r="O11" i="11"/>
  <c r="D28" i="7"/>
  <c r="D32" i="7"/>
  <c r="L16" i="8"/>
  <c r="D13" i="1" s="1"/>
  <c r="L23" i="7"/>
  <c r="L8" i="8" s="1"/>
  <c r="L27" i="7"/>
  <c r="M40" i="8"/>
  <c r="H22" i="7"/>
  <c r="H18" i="7"/>
  <c r="H7" i="8" s="1"/>
  <c r="I32" i="7"/>
  <c r="I28" i="7"/>
  <c r="F18" i="7"/>
  <c r="F7" i="8" s="1"/>
  <c r="F22" i="7"/>
  <c r="J22" i="7"/>
  <c r="J18" i="7"/>
  <c r="J7" i="8" s="1"/>
  <c r="G28" i="7"/>
  <c r="G32" i="7"/>
  <c r="O91" i="7"/>
  <c r="O83" i="7"/>
  <c r="O97" i="7"/>
  <c r="O81" i="7"/>
  <c r="O71" i="7"/>
  <c r="O63" i="7"/>
  <c r="O95" i="7"/>
  <c r="O79" i="7"/>
  <c r="O66" i="7"/>
  <c r="O98" i="7"/>
  <c r="O93" i="7"/>
  <c r="O86" i="7"/>
  <c r="O77" i="7"/>
  <c r="O69" i="7"/>
  <c r="O51" i="7"/>
  <c r="O84" i="7"/>
  <c r="O72" i="7"/>
  <c r="O64" i="7"/>
  <c r="O92" i="7"/>
  <c r="O87" i="7"/>
  <c r="O73" i="7"/>
  <c r="O65" i="7"/>
  <c r="O88" i="7"/>
  <c r="O85" i="7"/>
  <c r="O74" i="7"/>
  <c r="O68" i="7"/>
  <c r="O48" i="7"/>
  <c r="O43" i="7"/>
  <c r="O41" i="7"/>
  <c r="O38" i="7"/>
  <c r="O78" i="7"/>
  <c r="O49" i="7"/>
  <c r="O15" i="7"/>
  <c r="P3" i="7"/>
  <c r="O56" i="7"/>
  <c r="O70" i="7"/>
  <c r="O40" i="7"/>
  <c r="O7" i="7"/>
  <c r="O82" i="7"/>
  <c r="O50" i="7"/>
  <c r="O42" i="7"/>
  <c r="O20" i="7"/>
  <c r="O100" i="7"/>
  <c r="O67" i="7"/>
  <c r="O37" i="7"/>
  <c r="O10" i="7"/>
  <c r="O94" i="7"/>
  <c r="O80" i="7"/>
  <c r="O55" i="7"/>
  <c r="O28" i="8" s="1"/>
  <c r="O53" i="7"/>
  <c r="O17" i="7"/>
  <c r="O58" i="7"/>
  <c r="O25" i="7"/>
  <c r="O96" i="7"/>
  <c r="O52" i="7"/>
  <c r="O36" i="7"/>
  <c r="O12" i="7"/>
  <c r="O30" i="7"/>
  <c r="O46" i="7"/>
  <c r="N6" i="2"/>
  <c r="N10" i="2" s="1"/>
  <c r="N12" i="2" s="1"/>
  <c r="N13" i="2" s="1"/>
  <c r="N15" i="2" s="1"/>
  <c r="C22" i="7"/>
  <c r="C18" i="7"/>
  <c r="C7" i="8" s="1"/>
  <c r="M17" i="7"/>
  <c r="M18" i="7" s="1"/>
  <c r="M7" i="8" s="1"/>
  <c r="B51" i="9"/>
  <c r="B56" i="9" s="1"/>
  <c r="B55" i="9"/>
  <c r="E22" i="7"/>
  <c r="E18" i="7"/>
  <c r="E7" i="8" s="1"/>
  <c r="N20" i="8"/>
  <c r="N37" i="8" s="1"/>
  <c r="N22" i="8"/>
  <c r="N19" i="8"/>
  <c r="N8" i="7"/>
  <c r="N26" i="8"/>
  <c r="N27" i="8"/>
  <c r="G28" i="9"/>
  <c r="G23" i="9"/>
  <c r="H19" i="9"/>
  <c r="G29" i="9"/>
  <c r="K5" i="11"/>
  <c r="K22" i="7"/>
  <c r="K18" i="7"/>
  <c r="K7" i="8" s="1"/>
  <c r="N21" i="8"/>
  <c r="N38" i="8" s="1"/>
  <c r="N23" i="8"/>
  <c r="H8" i="9"/>
  <c r="N44" i="7"/>
  <c r="N14" i="8"/>
  <c r="N15" i="8"/>
  <c r="N5" i="2" l="1"/>
  <c r="O13" i="7"/>
  <c r="O6" i="8" s="1"/>
  <c r="O26" i="8"/>
  <c r="O27" i="8"/>
  <c r="G10" i="8"/>
  <c r="G31" i="8"/>
  <c r="G32" i="8" s="1"/>
  <c r="G11" i="8"/>
  <c r="G33" i="7"/>
  <c r="G9" i="8" s="1"/>
  <c r="B64" i="9"/>
  <c r="F13" i="1" s="1"/>
  <c r="K31" i="9"/>
  <c r="B63" i="9"/>
  <c r="F12" i="1" s="1"/>
  <c r="B66" i="9"/>
  <c r="F15" i="1" s="1"/>
  <c r="J31" i="9"/>
  <c r="I31" i="9"/>
  <c r="B65" i="9"/>
  <c r="F14" i="1" s="1"/>
  <c r="H31" i="9"/>
  <c r="B62" i="9"/>
  <c r="F11" i="1" s="1"/>
  <c r="G31" i="9"/>
  <c r="H23" i="9"/>
  <c r="H28" i="9"/>
  <c r="I19" i="9"/>
  <c r="H29" i="9"/>
  <c r="P94" i="7"/>
  <c r="P86" i="7"/>
  <c r="P78" i="7"/>
  <c r="P95" i="7"/>
  <c r="P79" i="7"/>
  <c r="P66" i="7"/>
  <c r="P98" i="7"/>
  <c r="P93" i="7"/>
  <c r="P77" i="7"/>
  <c r="P69" i="7"/>
  <c r="P91" i="7"/>
  <c r="P84" i="7"/>
  <c r="P72" i="7"/>
  <c r="P64" i="7"/>
  <c r="P55" i="7"/>
  <c r="P52" i="7"/>
  <c r="P40" i="7"/>
  <c r="P44" i="7" s="1"/>
  <c r="P82" i="7"/>
  <c r="P67" i="7"/>
  <c r="P88" i="7"/>
  <c r="P85" i="7"/>
  <c r="P74" i="7"/>
  <c r="P68" i="7"/>
  <c r="P97" i="7"/>
  <c r="P83" i="7"/>
  <c r="P81" i="7"/>
  <c r="P71" i="7"/>
  <c r="P63" i="7"/>
  <c r="P49" i="7"/>
  <c r="P92" i="7"/>
  <c r="P65" i="7"/>
  <c r="P56" i="7"/>
  <c r="P30" i="7"/>
  <c r="P17" i="7"/>
  <c r="P70" i="7"/>
  <c r="P50" i="7"/>
  <c r="P42" i="7"/>
  <c r="P20" i="7"/>
  <c r="P96" i="7"/>
  <c r="P58" i="7"/>
  <c r="P46" i="7"/>
  <c r="P36" i="7"/>
  <c r="P22" i="7"/>
  <c r="P80" i="7"/>
  <c r="P53" i="7"/>
  <c r="P51" i="7"/>
  <c r="P48" i="7"/>
  <c r="P25" i="7"/>
  <c r="P12" i="7"/>
  <c r="P13" i="7" s="1"/>
  <c r="P6" i="8" s="1"/>
  <c r="P87" i="7"/>
  <c r="P73" i="7"/>
  <c r="P43" i="7"/>
  <c r="P41" i="7"/>
  <c r="P38" i="7"/>
  <c r="P37" i="7"/>
  <c r="P10" i="7"/>
  <c r="Q3" i="7"/>
  <c r="P100" i="7"/>
  <c r="P7" i="7"/>
  <c r="P15" i="7"/>
  <c r="D11" i="8"/>
  <c r="D31" i="8"/>
  <c r="D32" i="8" s="1"/>
  <c r="D10" i="8"/>
  <c r="D33" i="7"/>
  <c r="D9" i="8" s="1"/>
  <c r="N40" i="8"/>
  <c r="C16" i="8"/>
  <c r="C27" i="7"/>
  <c r="P27" i="7" s="1"/>
  <c r="P28" i="7" s="1"/>
  <c r="C23" i="7"/>
  <c r="C8" i="8" s="1"/>
  <c r="M22" i="7"/>
  <c r="N22" i="7"/>
  <c r="I11" i="8"/>
  <c r="I10" i="8"/>
  <c r="I31" i="8"/>
  <c r="I32" i="8" s="1"/>
  <c r="I33" i="7"/>
  <c r="I9" i="8" s="1"/>
  <c r="O20" i="8"/>
  <c r="O37" i="8" s="1"/>
  <c r="O22" i="8"/>
  <c r="O19" i="8"/>
  <c r="O8" i="7"/>
  <c r="C21" i="9"/>
  <c r="C22" i="9" s="1"/>
  <c r="B10" i="9" s="1"/>
  <c r="H16" i="8"/>
  <c r="H23" i="7"/>
  <c r="H8" i="8" s="1"/>
  <c r="H27" i="7"/>
  <c r="E16" i="8"/>
  <c r="E23" i="7"/>
  <c r="E8" i="8" s="1"/>
  <c r="E27" i="7"/>
  <c r="L5" i="11"/>
  <c r="K16" i="8"/>
  <c r="F21" i="9"/>
  <c r="F22" i="9" s="1"/>
  <c r="K27" i="7"/>
  <c r="K23" i="7"/>
  <c r="K8" i="8" s="1"/>
  <c r="O44" i="7"/>
  <c r="E21" i="9"/>
  <c r="E22" i="9" s="1"/>
  <c r="J16" i="8"/>
  <c r="J23" i="7"/>
  <c r="J8" i="8" s="1"/>
  <c r="J27" i="7"/>
  <c r="L28" i="7"/>
  <c r="L32" i="7"/>
  <c r="O21" i="8"/>
  <c r="O38" i="8" s="1"/>
  <c r="O23" i="8"/>
  <c r="O15" i="8"/>
  <c r="O14" i="8"/>
  <c r="P5" i="11"/>
  <c r="O22" i="7"/>
  <c r="O18" i="7"/>
  <c r="O7" i="8" s="1"/>
  <c r="F16" i="8"/>
  <c r="F27" i="7"/>
  <c r="F23" i="7"/>
  <c r="F8" i="8" s="1"/>
  <c r="J28" i="7" l="1"/>
  <c r="J32" i="7"/>
  <c r="N16" i="8"/>
  <c r="N23" i="7"/>
  <c r="N8" i="8" s="1"/>
  <c r="P26" i="8"/>
  <c r="P27" i="8"/>
  <c r="E28" i="7"/>
  <c r="E32" i="7"/>
  <c r="M16" i="8"/>
  <c r="M23" i="7"/>
  <c r="M8" i="8" s="1"/>
  <c r="P28" i="8"/>
  <c r="I23" i="9"/>
  <c r="I21" i="9"/>
  <c r="I29" i="9"/>
  <c r="J19" i="9"/>
  <c r="I28" i="9"/>
  <c r="P21" i="8"/>
  <c r="P38" i="8" s="1"/>
  <c r="P23" i="8"/>
  <c r="F32" i="7"/>
  <c r="F28" i="7"/>
  <c r="P15" i="8"/>
  <c r="P14" i="8"/>
  <c r="O40" i="8"/>
  <c r="C28" i="7"/>
  <c r="M27" i="7"/>
  <c r="M28" i="7" s="1"/>
  <c r="C32" i="7"/>
  <c r="N27" i="7"/>
  <c r="N28" i="7" s="1"/>
  <c r="O27" i="7"/>
  <c r="O28" i="7" s="1"/>
  <c r="P22" i="8"/>
  <c r="P20" i="8"/>
  <c r="P37" i="8" s="1"/>
  <c r="P40" i="8" s="1"/>
  <c r="P19" i="8"/>
  <c r="P8" i="7"/>
  <c r="J22" i="9"/>
  <c r="I22" i="9"/>
  <c r="H22" i="9"/>
  <c r="H21" i="9" s="1"/>
  <c r="G22" i="9"/>
  <c r="G21" i="9" s="1"/>
  <c r="K22" i="9"/>
  <c r="H32" i="7"/>
  <c r="H28" i="7"/>
  <c r="P16" i="8"/>
  <c r="P23" i="7"/>
  <c r="P8" i="8" s="1"/>
  <c r="O16" i="8"/>
  <c r="O23" i="7"/>
  <c r="O8" i="8" s="1"/>
  <c r="L31" i="8"/>
  <c r="L32" i="8" s="1"/>
  <c r="D15" i="1" s="1"/>
  <c r="L10" i="8"/>
  <c r="L11" i="8"/>
  <c r="D11" i="1" s="1"/>
  <c r="L33" i="7"/>
  <c r="L9" i="8" s="1"/>
  <c r="D10" i="1" s="1"/>
  <c r="K32" i="7"/>
  <c r="K28" i="7"/>
  <c r="P10" i="11"/>
  <c r="P15" i="11"/>
  <c r="P12" i="11"/>
  <c r="P18" i="11" s="1"/>
  <c r="P20" i="11" s="1"/>
  <c r="P22" i="11" s="1"/>
  <c r="P14" i="11"/>
  <c r="P11" i="11"/>
  <c r="P13" i="11"/>
  <c r="Q97" i="7"/>
  <c r="Q81" i="7"/>
  <c r="Q98" i="7"/>
  <c r="Q93" i="7"/>
  <c r="Q77" i="7"/>
  <c r="Q69" i="7"/>
  <c r="Q51" i="7"/>
  <c r="Q91" i="7"/>
  <c r="Q86" i="7"/>
  <c r="Q84" i="7"/>
  <c r="Q72" i="7"/>
  <c r="Q64" i="7"/>
  <c r="Q55" i="7"/>
  <c r="Q82" i="7"/>
  <c r="Q67" i="7"/>
  <c r="Q56" i="7"/>
  <c r="Q53" i="7"/>
  <c r="Q43" i="7"/>
  <c r="Q100" i="7"/>
  <c r="Q96" i="7"/>
  <c r="Q80" i="7"/>
  <c r="Q70" i="7"/>
  <c r="Q58" i="7"/>
  <c r="Q83" i="7"/>
  <c r="Q71" i="7"/>
  <c r="Q63" i="7"/>
  <c r="Q95" i="7"/>
  <c r="Q79" i="7"/>
  <c r="Q66" i="7"/>
  <c r="Q50" i="7"/>
  <c r="Q42" i="7"/>
  <c r="Q92" i="7"/>
  <c r="Q78" i="7"/>
  <c r="Q65" i="7"/>
  <c r="Q49" i="7"/>
  <c r="Q85" i="7"/>
  <c r="Q44" i="7"/>
  <c r="Q7" i="7"/>
  <c r="Q40" i="7"/>
  <c r="Q88" i="7"/>
  <c r="Q74" i="7"/>
  <c r="Q46" i="7"/>
  <c r="Q36" i="7"/>
  <c r="Q22" i="7"/>
  <c r="Q52" i="7"/>
  <c r="Q37" i="7"/>
  <c r="Q10" i="7"/>
  <c r="Q94" i="7"/>
  <c r="Q87" i="7"/>
  <c r="Q73" i="7"/>
  <c r="Q41" i="7"/>
  <c r="Q38" i="7"/>
  <c r="Q27" i="7"/>
  <c r="Q68" i="7"/>
  <c r="Q25" i="7"/>
  <c r="Q20" i="7"/>
  <c r="Q12" i="7"/>
  <c r="Q30" i="7"/>
  <c r="Q48" i="7"/>
  <c r="Q15" i="7"/>
  <c r="Q17" i="7"/>
  <c r="Q18" i="7" s="1"/>
  <c r="Q7" i="8" s="1"/>
  <c r="P18" i="7"/>
  <c r="P7" i="8" s="1"/>
  <c r="E31" i="8" l="1"/>
  <c r="E32" i="8" s="1"/>
  <c r="E11" i="8"/>
  <c r="E10" i="8"/>
  <c r="E33" i="7"/>
  <c r="E9" i="8" s="1"/>
  <c r="Q22" i="8"/>
  <c r="Q19" i="8"/>
  <c r="Q8" i="7"/>
  <c r="Q20" i="8"/>
  <c r="Q37" i="8" s="1"/>
  <c r="Q40" i="8" s="1"/>
  <c r="H10" i="8"/>
  <c r="H11" i="8"/>
  <c r="H31" i="8"/>
  <c r="H32" i="8" s="1"/>
  <c r="H33" i="7"/>
  <c r="H9" i="8" s="1"/>
  <c r="J28" i="9"/>
  <c r="J23" i="9"/>
  <c r="J21" i="9"/>
  <c r="J29" i="9"/>
  <c r="K19" i="9"/>
  <c r="Q23" i="8"/>
  <c r="Q21" i="8"/>
  <c r="Q38" i="8" s="1"/>
  <c r="Q32" i="7"/>
  <c r="Q26" i="8"/>
  <c r="Q27" i="8"/>
  <c r="Q14" i="8"/>
  <c r="Q15" i="8"/>
  <c r="Q28" i="8"/>
  <c r="G26" i="9"/>
  <c r="G27" i="9" s="1"/>
  <c r="G30" i="9" s="1"/>
  <c r="I26" i="9"/>
  <c r="I27" i="9" s="1"/>
  <c r="I30" i="9" s="1"/>
  <c r="I32" i="9" s="1"/>
  <c r="H26" i="9"/>
  <c r="H27" i="9" s="1"/>
  <c r="H30" i="9" s="1"/>
  <c r="H32" i="9" s="1"/>
  <c r="F31" i="8"/>
  <c r="F32" i="8" s="1"/>
  <c r="F11" i="8"/>
  <c r="F10" i="8"/>
  <c r="F33" i="7"/>
  <c r="F9" i="8" s="1"/>
  <c r="Q28" i="7"/>
  <c r="C31" i="8"/>
  <c r="C11" i="8"/>
  <c r="C10" i="8"/>
  <c r="C33" i="7"/>
  <c r="C9" i="8" s="1"/>
  <c r="M32" i="7"/>
  <c r="N32" i="7"/>
  <c r="O32" i="7"/>
  <c r="P32" i="7"/>
  <c r="J10" i="8"/>
  <c r="J31" i="8"/>
  <c r="J32" i="8" s="1"/>
  <c r="J11" i="8"/>
  <c r="J33" i="7"/>
  <c r="J9" i="8" s="1"/>
  <c r="Q16" i="8"/>
  <c r="Q23" i="7"/>
  <c r="Q8" i="8" s="1"/>
  <c r="Q13" i="7"/>
  <c r="Q6" i="8" s="1"/>
  <c r="M5" i="11"/>
  <c r="K10" i="8"/>
  <c r="K31" i="8"/>
  <c r="K32" i="8" s="1"/>
  <c r="K11" i="8"/>
  <c r="K33" i="7"/>
  <c r="K9" i="8" s="1"/>
  <c r="G32" i="9" l="1"/>
  <c r="J26" i="9"/>
  <c r="J27" i="9" s="1"/>
  <c r="J30" i="9" s="1"/>
  <c r="J32" i="9" s="1"/>
  <c r="P10" i="8"/>
  <c r="P11" i="8"/>
  <c r="P33" i="7"/>
  <c r="P9" i="8" s="1"/>
  <c r="Q11" i="8"/>
  <c r="Q10" i="8"/>
  <c r="Q33" i="7"/>
  <c r="Q9" i="8" s="1"/>
  <c r="Q5" i="11"/>
  <c r="O10" i="8"/>
  <c r="O11" i="8"/>
  <c r="O33" i="7"/>
  <c r="O9" i="8" s="1"/>
  <c r="C32" i="8"/>
  <c r="O31" i="8"/>
  <c r="N31" i="8"/>
  <c r="M31" i="8"/>
  <c r="P31" i="8"/>
  <c r="Q31" i="8"/>
  <c r="M11" i="8"/>
  <c r="M10" i="8"/>
  <c r="M33" i="7"/>
  <c r="M9" i="8" s="1"/>
  <c r="N11" i="8"/>
  <c r="N10" i="8"/>
  <c r="N33" i="7"/>
  <c r="N9" i="8" s="1"/>
  <c r="K28" i="9"/>
  <c r="K23" i="9"/>
  <c r="K29" i="9"/>
  <c r="K21" i="9"/>
  <c r="O32" i="8" l="1"/>
  <c r="N32" i="8"/>
  <c r="Q32" i="8"/>
  <c r="P32" i="8"/>
  <c r="M32" i="8"/>
  <c r="K26" i="9"/>
  <c r="K27" i="9" s="1"/>
  <c r="K30" i="9" s="1"/>
  <c r="Q15" i="11"/>
  <c r="Q12" i="11"/>
  <c r="Q20" i="11" s="1"/>
  <c r="Q22" i="11" s="1"/>
  <c r="Q14" i="11"/>
  <c r="Q11" i="11"/>
  <c r="Q13" i="11"/>
  <c r="Q10" i="11"/>
  <c r="K32" i="9" l="1"/>
  <c r="K33" i="9"/>
  <c r="K34" i="9" s="1"/>
  <c r="K35" i="9" s="1"/>
  <c r="G66" i="9"/>
  <c r="K15" i="1" s="1"/>
  <c r="D66" i="9"/>
  <c r="H15" i="1" s="1"/>
  <c r="G63" i="9"/>
  <c r="K12" i="1" s="1"/>
  <c r="E63" i="9"/>
  <c r="I12" i="1" s="1"/>
  <c r="F63" i="9"/>
  <c r="J12" i="1" s="1"/>
  <c r="E65" i="9"/>
  <c r="I14" i="1" s="1"/>
  <c r="F64" i="9"/>
  <c r="J13" i="1" s="1"/>
  <c r="C62" i="9"/>
  <c r="G11" i="1" s="1"/>
  <c r="F65" i="9"/>
  <c r="J14" i="1" s="1"/>
  <c r="C64" i="9"/>
  <c r="G13" i="1" s="1"/>
  <c r="C66" i="9"/>
  <c r="G15" i="1" s="1"/>
  <c r="D63" i="9"/>
  <c r="H12" i="1" s="1"/>
  <c r="G62" i="9"/>
  <c r="K11" i="1" s="1"/>
  <c r="E64" i="9"/>
  <c r="I13" i="1" s="1"/>
  <c r="E66" i="9"/>
  <c r="I15" i="1" s="1"/>
  <c r="F62" i="9"/>
  <c r="J11" i="1" s="1"/>
  <c r="E62" i="9"/>
  <c r="I11" i="1" s="1"/>
  <c r="G64" i="9"/>
  <c r="K13" i="1" s="1"/>
  <c r="G65" i="9"/>
  <c r="K14" i="1" s="1"/>
  <c r="F66" i="9"/>
  <c r="J15" i="1" s="1"/>
  <c r="D64" i="9"/>
  <c r="H13" i="1" s="1"/>
  <c r="C63" i="9"/>
  <c r="G12" i="1" s="1"/>
  <c r="D65" i="9"/>
  <c r="H14" i="1" s="1"/>
  <c r="D62" i="9"/>
  <c r="H11" i="1" s="1"/>
  <c r="C65" i="9"/>
  <c r="G14" i="1" s="1"/>
  <c r="K36" i="9" l="1"/>
  <c r="K37" i="9" s="1"/>
  <c r="K38" i="9" s="1"/>
  <c r="K39" i="9" l="1"/>
  <c r="H6" i="1" s="1"/>
  <c r="F6" i="1"/>
  <c r="D6" i="1"/>
</calcChain>
</file>

<file path=xl/sharedStrings.xml><?xml version="1.0" encoding="utf-8"?>
<sst xmlns="http://schemas.openxmlformats.org/spreadsheetml/2006/main" count="418" uniqueCount="314">
  <si>
    <t>Current Price (₹)</t>
  </si>
  <si>
    <t>DCF Fair Value (₹)</t>
  </si>
  <si>
    <t>Upside / (Downside)</t>
  </si>
  <si>
    <t>Verdict</t>
  </si>
  <si>
    <t>Key Ratios — Latest Year (FY26)</t>
  </si>
  <si>
    <t>DCF Sensitivity — Implied Price (₹)</t>
  </si>
  <si>
    <t>Net Profit Margin</t>
  </si>
  <si>
    <t>WACC\Growth</t>
  </si>
  <si>
    <t>Return on Equity</t>
  </si>
  <si>
    <t>Debt / Equity</t>
  </si>
  <si>
    <t>Interest Coverage</t>
  </si>
  <si>
    <t>Current Ratio</t>
  </si>
  <si>
    <t>P/E Ratio</t>
  </si>
  <si>
    <t>SCREENER.IN</t>
  </si>
  <si>
    <t>Narration</t>
  </si>
  <si>
    <t>Trailing</t>
  </si>
  <si>
    <t>Best Case</t>
  </si>
  <si>
    <t>Worst Case</t>
  </si>
  <si>
    <t>Sales</t>
  </si>
  <si>
    <t>Expenses</t>
  </si>
  <si>
    <t>Operating Profit</t>
  </si>
  <si>
    <t>Other Income</t>
  </si>
  <si>
    <t>Depreciation</t>
  </si>
  <si>
    <t>Interest</t>
  </si>
  <si>
    <t>Profit before tax</t>
  </si>
  <si>
    <t>Tax</t>
  </si>
  <si>
    <t>Net profit</t>
  </si>
  <si>
    <t>EPS</t>
  </si>
  <si>
    <t>Price to earning</t>
  </si>
  <si>
    <t>Price</t>
  </si>
  <si>
    <t>RATIOS:</t>
  </si>
  <si>
    <t>Dividend Payout</t>
  </si>
  <si>
    <t>OPM</t>
  </si>
  <si>
    <t>TRENDS:</t>
  </si>
  <si>
    <t>10 YEARS</t>
  </si>
  <si>
    <t>7 YEARS</t>
  </si>
  <si>
    <t>5 YEARS</t>
  </si>
  <si>
    <t>3 YEARS</t>
  </si>
  <si>
    <t>RECENT</t>
  </si>
  <si>
    <t>BEST</t>
  </si>
  <si>
    <t>WORST</t>
  </si>
  <si>
    <t>Sales Growth</t>
  </si>
  <si>
    <t>Price to Earning</t>
  </si>
  <si>
    <t>Equity Share Capital</t>
  </si>
  <si>
    <t>Reserves</t>
  </si>
  <si>
    <t>Borrowings</t>
  </si>
  <si>
    <t>Other Liabilities</t>
  </si>
  <si>
    <t>Total</t>
  </si>
  <si>
    <t>Net Block</t>
  </si>
  <si>
    <t>Capital Work in Progress</t>
  </si>
  <si>
    <t>Investments</t>
  </si>
  <si>
    <t>Other Assets</t>
  </si>
  <si>
    <t>Working Capital</t>
  </si>
  <si>
    <t>Debtors</t>
  </si>
  <si>
    <t>Inventory</t>
  </si>
  <si>
    <t>Debtor Days</t>
  </si>
  <si>
    <t>Inventory Turnover</t>
  </si>
  <si>
    <t>Return on Capital Emp</t>
  </si>
  <si>
    <t>Cash from Operating Activity</t>
  </si>
  <si>
    <t>Cash from Investing Activity</t>
  </si>
  <si>
    <t>Cash from Financing Activity</t>
  </si>
  <si>
    <t>Net Cash Flow</t>
  </si>
  <si>
    <t>How to use it?</t>
  </si>
  <si>
    <t>You can customize this workbook as you want.</t>
  </si>
  <si>
    <t>You can add custom formating, add conditional formating, add your own formulas… do ANYTHING.</t>
  </si>
  <si>
    <t>Please don't edit the "Data Sheet" only.</t>
  </si>
  <si>
    <t>After customization, you can upload this back on Screener.</t>
  </si>
  <si>
    <t>Upload on:</t>
  </si>
  <si>
    <t xml:space="preserve"> https://www.screener.in/excel/</t>
  </si>
  <si>
    <t>Download your customized workbooks now onwards.</t>
  </si>
  <si>
    <t>Now whenever you will "Export to excel" from Screener, it will export your customized file.</t>
  </si>
  <si>
    <t>TESTING:</t>
  </si>
  <si>
    <t>This is a testing feature currently.</t>
  </si>
  <si>
    <t>You can report any formula errors on the worksheet at: support@screener.in</t>
  </si>
  <si>
    <t>Year</t>
  </si>
  <si>
    <t>#</t>
  </si>
  <si>
    <t>Income Statement</t>
  </si>
  <si>
    <t>Sales Margin</t>
  </si>
  <si>
    <t>-</t>
  </si>
  <si>
    <t>COGS</t>
  </si>
  <si>
    <t>Gross Profit</t>
  </si>
  <si>
    <t>Gross Profit Margins</t>
  </si>
  <si>
    <t>Selling and General Expenses</t>
  </si>
  <si>
    <t>EBITDA</t>
  </si>
  <si>
    <t>EBITDA Margins</t>
  </si>
  <si>
    <t>Depp&amp;Amm</t>
  </si>
  <si>
    <t>EBIT</t>
  </si>
  <si>
    <t>EBIT Margins</t>
  </si>
  <si>
    <t>EBT</t>
  </si>
  <si>
    <t>EBT Margins</t>
  </si>
  <si>
    <t>Net Profit</t>
  </si>
  <si>
    <t>Net Profit Margins</t>
  </si>
  <si>
    <t>Balance Statement</t>
  </si>
  <si>
    <t>Equity</t>
  </si>
  <si>
    <t>Borrowing</t>
  </si>
  <si>
    <t>Non controlling int</t>
  </si>
  <si>
    <t>Trade Payables</t>
  </si>
  <si>
    <t>Advance from Customers</t>
  </si>
  <si>
    <t>Other liability items</t>
  </si>
  <si>
    <t>Other liabilities</t>
  </si>
  <si>
    <t>Total Liabilities</t>
  </si>
  <si>
    <t>Total Non Current Assets</t>
  </si>
  <si>
    <t>Receivables</t>
  </si>
  <si>
    <t>Cash &amp; Bank</t>
  </si>
  <si>
    <t>Total Current Assets</t>
  </si>
  <si>
    <t>Total Assets</t>
  </si>
  <si>
    <t>Cash Flow Statement</t>
  </si>
  <si>
    <t>Cash from Operating activities</t>
  </si>
  <si>
    <t>Profit from operations</t>
  </si>
  <si>
    <t>Payables</t>
  </si>
  <si>
    <t>Loans Advances</t>
  </si>
  <si>
    <t>Operating Deposits</t>
  </si>
  <si>
    <t>Other WC items</t>
  </si>
  <si>
    <t>Working capital changes</t>
  </si>
  <si>
    <t>Direct taxes</t>
  </si>
  <si>
    <t>Other operating items</t>
  </si>
  <si>
    <t>Exceptional CF items</t>
  </si>
  <si>
    <t>Cash flow from Operating activities</t>
  </si>
  <si>
    <t>Cash from investing activities</t>
  </si>
  <si>
    <t>Fixed assets purchased</t>
  </si>
  <si>
    <t>Fixed assets sold</t>
  </si>
  <si>
    <t>Investments purchased</t>
  </si>
  <si>
    <t>Investments sold</t>
  </si>
  <si>
    <t>Interest received</t>
  </si>
  <si>
    <t>Dividends received</t>
  </si>
  <si>
    <t>Invest in subsidiaries</t>
  </si>
  <si>
    <t>Loans to subsidiaries</t>
  </si>
  <si>
    <t>Redemp n Canc of Shares</t>
  </si>
  <si>
    <t>Acquisition of companies</t>
  </si>
  <si>
    <t>Other investing items</t>
  </si>
  <si>
    <t>Cash flow from investing activities</t>
  </si>
  <si>
    <t>Cash flow from Financing activities</t>
  </si>
  <si>
    <t>Proceeds from shares</t>
  </si>
  <si>
    <t>Proceeds from borrowings</t>
  </si>
  <si>
    <t>Repayment of borrowings</t>
  </si>
  <si>
    <t>Interest paid fin</t>
  </si>
  <si>
    <t>Dividends paid</t>
  </si>
  <si>
    <t>Financial liabilities</t>
  </si>
  <si>
    <t>Other financing items</t>
  </si>
  <si>
    <t>NET CASH FLOW</t>
  </si>
  <si>
    <t>Profitability ratio</t>
  </si>
  <si>
    <t>Gross profit margins</t>
  </si>
  <si>
    <t>EBITDA margins</t>
  </si>
  <si>
    <t>Net profit margins</t>
  </si>
  <si>
    <t>return on assets</t>
  </si>
  <si>
    <t>return on equity</t>
  </si>
  <si>
    <t>Solvency Ratio</t>
  </si>
  <si>
    <t>Debt by equity</t>
  </si>
  <si>
    <t>debt ratio</t>
  </si>
  <si>
    <t>Interest coverage ratio</t>
  </si>
  <si>
    <t>Efficiency Ratio</t>
  </si>
  <si>
    <t>Asset turnover ratio</t>
  </si>
  <si>
    <t>Receivable turnover ratio</t>
  </si>
  <si>
    <t>Payable turnover ratio (Trade Payables reflect client settlement float, not vendor credit)</t>
  </si>
  <si>
    <t>Fixed asset turnover ratio</t>
  </si>
  <si>
    <t>capital turnover</t>
  </si>
  <si>
    <t>Liquidity Ratio</t>
  </si>
  <si>
    <t>Current ratio</t>
  </si>
  <si>
    <t>Quick ratio</t>
  </si>
  <si>
    <t>cash ratio</t>
  </si>
  <si>
    <t>Market Ratio</t>
  </si>
  <si>
    <t>Earning per share</t>
  </si>
  <si>
    <t>P/e ratio</t>
  </si>
  <si>
    <t>book value per share</t>
  </si>
  <si>
    <t>Operating cycle ratio</t>
  </si>
  <si>
    <t>in days</t>
  </si>
  <si>
    <t>receiveable days</t>
  </si>
  <si>
    <t>Payable days (client settlement float, not vendor credit)</t>
  </si>
  <si>
    <t>Cash Conversion Cycle (Receivable days − Payable days; inventory days excluded)</t>
  </si>
  <si>
    <t>A</t>
  </si>
  <si>
    <t>B</t>
  </si>
  <si>
    <t>Assumptions</t>
  </si>
  <si>
    <t>Assumption</t>
  </si>
  <si>
    <t>Formula</t>
  </si>
  <si>
    <t>Base Year</t>
  </si>
  <si>
    <t>FY25</t>
  </si>
  <si>
    <t>Risk Free Rate</t>
  </si>
  <si>
    <t>Debt</t>
  </si>
  <si>
    <t>Revenue CAGR</t>
  </si>
  <si>
    <t>Market Risk Premium</t>
  </si>
  <si>
    <t>Revenue Growth FY26</t>
  </si>
  <si>
    <t>Beta</t>
  </si>
  <si>
    <t>Total Cap</t>
  </si>
  <si>
    <t>Revenue Growth FY27</t>
  </si>
  <si>
    <t>Cost of Equity</t>
  </si>
  <si>
    <t>Equity Weight</t>
  </si>
  <si>
    <t>Revenue Growth FY28</t>
  </si>
  <si>
    <t>Cost of Debt</t>
  </si>
  <si>
    <t>Debt Weight</t>
  </si>
  <si>
    <t>Revenue Growth FY29</t>
  </si>
  <si>
    <t>Discount Rate</t>
  </si>
  <si>
    <t>Revenue Growth FY30</t>
  </si>
  <si>
    <t>After tax cost of debt</t>
  </si>
  <si>
    <t>EBIT Margin</t>
  </si>
  <si>
    <t>Terminal Growth rate</t>
  </si>
  <si>
    <t>Tax Rate</t>
  </si>
  <si>
    <t>Dep % Sales</t>
  </si>
  <si>
    <t>CapEx % Sales</t>
  </si>
  <si>
    <t>ΔNWC % Sales</t>
  </si>
  <si>
    <t>WACC</t>
  </si>
  <si>
    <t>Forecast</t>
  </si>
  <si>
    <t>FY21</t>
  </si>
  <si>
    <t>FY22</t>
  </si>
  <si>
    <t>FY23</t>
  </si>
  <si>
    <t>FY24</t>
  </si>
  <si>
    <t>FY26E</t>
  </si>
  <si>
    <t>FY27E</t>
  </si>
  <si>
    <t>FY28E</t>
  </si>
  <si>
    <t>FY29E</t>
  </si>
  <si>
    <t>FY30E</t>
  </si>
  <si>
    <t>Revenue</t>
  </si>
  <si>
    <t>CAGR</t>
  </si>
  <si>
    <t>Revenue growth</t>
  </si>
  <si>
    <t>Deppriciation</t>
  </si>
  <si>
    <t>Deppriciation Margin</t>
  </si>
  <si>
    <t>TAX Rtae</t>
  </si>
  <si>
    <t xml:space="preserve">TAX   </t>
  </si>
  <si>
    <t>NOPAT</t>
  </si>
  <si>
    <t>CAPEX</t>
  </si>
  <si>
    <t>Change in Work cap</t>
  </si>
  <si>
    <t>FCFF</t>
  </si>
  <si>
    <t>Discount factor</t>
  </si>
  <si>
    <t>PV of FCFF</t>
  </si>
  <si>
    <t>Terminal FCFF</t>
  </si>
  <si>
    <t>Terminal Value</t>
  </si>
  <si>
    <t>PV Of Terminal value</t>
  </si>
  <si>
    <t>Enterprise value</t>
  </si>
  <si>
    <t>Equity Value</t>
  </si>
  <si>
    <t>Intrinsic value per share</t>
  </si>
  <si>
    <t>DCF Verdict</t>
  </si>
  <si>
    <t>Relative Valuation (P/B Multiple)</t>
  </si>
  <si>
    <t>Particulars</t>
  </si>
  <si>
    <t>Value</t>
  </si>
  <si>
    <t>P/B Multiple</t>
  </si>
  <si>
    <t>Target Price</t>
  </si>
  <si>
    <t>Share Capital</t>
  </si>
  <si>
    <t>Net Worth</t>
  </si>
  <si>
    <t>Shares Outstanding (Cr)</t>
  </si>
  <si>
    <t>Book Value per Share</t>
  </si>
  <si>
    <t>Target P/B Multiple</t>
  </si>
  <si>
    <t>Upside</t>
  </si>
  <si>
    <t>Conclusion</t>
  </si>
  <si>
    <t>Current price</t>
  </si>
  <si>
    <t>Recoomendation</t>
  </si>
  <si>
    <t>HOLD</t>
  </si>
  <si>
    <t>Sensitivity Analysis — Implied Share Price (₹) [DCF-based]</t>
  </si>
  <si>
    <t>WACC ↓ / Terminal Growth →</t>
  </si>
  <si>
    <t>Raw Material Cost</t>
  </si>
  <si>
    <t>Change in Inventory</t>
  </si>
  <si>
    <t>Power and Fuel</t>
  </si>
  <si>
    <t>Other Mfr. Exp</t>
  </si>
  <si>
    <t>Employee Cost</t>
  </si>
  <si>
    <t>Selling and admin</t>
  </si>
  <si>
    <t>Other Expenses</t>
  </si>
  <si>
    <t>Dividend Amount</t>
  </si>
  <si>
    <t>EBIT `</t>
  </si>
  <si>
    <t>Market Data</t>
  </si>
  <si>
    <t>Financials</t>
  </si>
  <si>
    <t>Valuationa</t>
  </si>
  <si>
    <t>Name</t>
  </si>
  <si>
    <t>share price</t>
  </si>
  <si>
    <t>share outstanding</t>
  </si>
  <si>
    <t>Market cap</t>
  </si>
  <si>
    <t>Net Debt</t>
  </si>
  <si>
    <t>enterprise value</t>
  </si>
  <si>
    <t>revenue</t>
  </si>
  <si>
    <t>Earning/net income</t>
  </si>
  <si>
    <t>EV/Revenue</t>
  </si>
  <si>
    <t>EV/EBITDA</t>
  </si>
  <si>
    <t>P/E</t>
  </si>
  <si>
    <t>Angel One</t>
  </si>
  <si>
    <t>Nuvama Wealth Management</t>
  </si>
  <si>
    <t>JM Financial</t>
  </si>
  <si>
    <t>High</t>
  </si>
  <si>
    <t>third quartile</t>
  </si>
  <si>
    <t>median</t>
  </si>
  <si>
    <t>average</t>
  </si>
  <si>
    <t>first quartile</t>
  </si>
  <si>
    <t>low</t>
  </si>
  <si>
    <t>implied enterprise value</t>
  </si>
  <si>
    <t>Net debt</t>
  </si>
  <si>
    <t>implied market value</t>
  </si>
  <si>
    <t>shares outstanding</t>
  </si>
  <si>
    <t>implied value per share</t>
  </si>
  <si>
    <t>COMPANY NAME</t>
  </si>
  <si>
    <t>MOTILAL OSWAL FINANCIAL SERVICES LTD</t>
  </si>
  <si>
    <t>LATEST VERSION</t>
  </si>
  <si>
    <t>PLEASE DO NOT MAKE ANY CHANGES TO THIS SHEET</t>
  </si>
  <si>
    <t>CURRENT VERSION</t>
  </si>
  <si>
    <t>META</t>
  </si>
  <si>
    <t>Number of shares</t>
  </si>
  <si>
    <t>Face Value</t>
  </si>
  <si>
    <t>Current Price</t>
  </si>
  <si>
    <t>Market Capitalization</t>
  </si>
  <si>
    <t>PROFIT &amp; LOSS</t>
  </si>
  <si>
    <t>Report Date</t>
  </si>
  <si>
    <t>Quarters</t>
  </si>
  <si>
    <t>BALANCE SHEET</t>
  </si>
  <si>
    <t>No. of Equity Shares</t>
  </si>
  <si>
    <t>New Bonus Shares</t>
  </si>
  <si>
    <t>Face value</t>
  </si>
  <si>
    <t>CASH FLOW:</t>
  </si>
  <si>
    <t>PRICE:</t>
  </si>
  <si>
    <t>DERIVED:</t>
  </si>
  <si>
    <t>Adjusted Equity Shares in Cr</t>
  </si>
  <si>
    <t>Prepared by: Kashish yadav</t>
  </si>
  <si>
    <t>Project Components</t>
  </si>
  <si>
    <t>Historical Financial Statement Analysis</t>
  </si>
  <si>
    <t>Three-Statement Financial Model</t>
  </si>
  <si>
    <t>Discounted Cash Flow (DCF) Valuation</t>
  </si>
  <si>
    <t>Price-to-Book (P/B) Relative Valuation</t>
  </si>
  <si>
    <t>Sensitivity Analysis</t>
  </si>
  <si>
    <t>Objective</t>
  </si>
  <si>
    <t>To evaluate the intrinsic value of Motilal Oswal Financial Services Ltd. using both absolute (DCF) and relative (P/B Multiple) valuation techniques by building an integrated financial model based on historical financial statements and reasonable forecasting assumptions.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</si>
</sst>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%"/>
    <numFmt numFmtId="165" formatCode="&quot;₹ &quot;#,##0"/>
    <numFmt numFmtId="166" formatCode="[$-409]mmm\-yy;@"/>
    <numFmt numFmtId="167" formatCode="_ * #,##0.00_ ;_ * \-#,##0.00_ ;_ * \-??_ ;_ @_ "/>
    <numFmt numFmtId="168" formatCode="mmm/yy&quot; A&quot;"/>
    <numFmt numFmtId="169" formatCode="mmm/yy&quot; E&quot;"/>
    <numFmt numFmtId="170" formatCode="&quot;₹ &quot;#,##0.0"/>
    <numFmt numFmtId="171" formatCode="&quot;₹ &quot;#,##0.00"/>
    <numFmt numFmtId="172" formatCode="&quot;₹ &quot;#,##0;&quot;₹ (&quot;#,##0\);0"/>
    <numFmt numFmtId="173" formatCode="0.0%;0"/>
    <numFmt numFmtId="175" formatCode="#,##0;\(#,##0\)"/>
    <numFmt numFmtId="176" formatCode="0.0&quot; x&quot;"/>
    <numFmt numFmtId="177" formatCode="0.00\x"/>
  </numFmts>
  <fonts count="33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</font>
    <font>
      <b/>
      <sz val="18"/>
      <color rgb="FFFFFFFF"/>
      <name val="Calibri"/>
      <family val="2"/>
    </font>
    <font>
      <b/>
      <sz val="10"/>
      <color rgb="FF595959"/>
      <name val="Calibri"/>
      <family val="2"/>
    </font>
    <font>
      <b/>
      <sz val="20"/>
      <color rgb="FF1F4E78"/>
      <name val="Calibri"/>
      <family val="2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rgb="FF008000"/>
      <name val="Calibri"/>
      <family val="2"/>
    </font>
    <font>
      <b/>
      <i/>
      <sz val="9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b/>
      <sz val="11"/>
      <color theme="0"/>
      <name val="Calibri"/>
      <family val="2"/>
      <charset val="1"/>
    </font>
    <font>
      <sz val="11"/>
      <name val="Calibri"/>
      <family val="2"/>
      <charset val="1"/>
    </font>
    <font>
      <b/>
      <sz val="16"/>
      <color theme="1"/>
      <name val="Calibri"/>
      <family val="2"/>
      <charset val="1"/>
    </font>
    <font>
      <b/>
      <u/>
      <sz val="11"/>
      <color theme="10"/>
      <name val="Calibri"/>
      <family val="2"/>
      <charset val="1"/>
    </font>
    <font>
      <i/>
      <sz val="11"/>
      <color theme="0" tint="-0.34998626667073579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theme="7" tint="0.39988402966399123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  <charset val="1"/>
    </font>
    <font>
      <b/>
      <sz val="11"/>
      <name val="Calibri"/>
      <family val="2"/>
    </font>
    <font>
      <sz val="11"/>
      <color rgb="FF0000FF"/>
      <name val="Calibri"/>
      <family val="2"/>
    </font>
    <font>
      <b/>
      <sz val="13.5"/>
      <color theme="1"/>
      <name val="Calibri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rgb="FF1F4E78"/>
        <bgColor rgb="FF2B4A76"/>
      </patternFill>
    </fill>
    <fill>
      <patternFill patternType="solid">
        <fgColor rgb="FFF2F2F2"/>
        <bgColor rgb="FFFFFFFF"/>
      </patternFill>
    </fill>
    <fill>
      <patternFill patternType="solid">
        <fgColor rgb="FF0275D8"/>
        <bgColor rgb="FF008080"/>
      </patternFill>
    </fill>
    <fill>
      <patternFill patternType="solid">
        <fgColor theme="4" tint="0.39988402966399123"/>
        <bgColor rgb="FF7DA0D0"/>
      </patternFill>
    </fill>
    <fill>
      <patternFill patternType="solid">
        <fgColor theme="6" tint="0.39988402966399123"/>
        <bgColor rgb="FFFF99CC"/>
      </patternFill>
    </fill>
    <fill>
      <patternFill patternType="solid">
        <fgColor theme="7" tint="-0.249977111117893"/>
        <bgColor rgb="FF1F4E78"/>
      </patternFill>
    </fill>
    <fill>
      <patternFill patternType="solid">
        <fgColor theme="7" tint="0.39988402966399123"/>
        <bgColor rgb="FFA6A6A6"/>
      </patternFill>
    </fill>
    <fill>
      <patternFill patternType="solid">
        <fgColor theme="0" tint="-0.14999847407452621"/>
        <bgColor rgb="FFD9E1F2"/>
      </patternFill>
    </fill>
    <fill>
      <patternFill patternType="solid">
        <fgColor theme="0" tint="-0.249977111117893"/>
        <bgColor rgb="FFB3B3B3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0275D8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7" tint="0.79998168889431442"/>
        <bgColor rgb="FFD9E1F2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ck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0">
    <xf numFmtId="0" fontId="0" fillId="0" borderId="0"/>
    <xf numFmtId="43" fontId="20" fillId="0" borderId="0"/>
    <xf numFmtId="0" fontId="21" fillId="0" borderId="0"/>
    <xf numFmtId="43" fontId="21" fillId="0" borderId="0"/>
    <xf numFmtId="0" fontId="24" fillId="0" borderId="0">
      <alignment vertical="top"/>
      <protection locked="0"/>
    </xf>
    <xf numFmtId="0" fontId="25" fillId="11" borderId="0"/>
    <xf numFmtId="0" fontId="25" fillId="12" borderId="0"/>
    <xf numFmtId="0" fontId="25" fillId="13" borderId="0"/>
    <xf numFmtId="9" fontId="21" fillId="0" borderId="0"/>
    <xf numFmtId="9" fontId="20" fillId="0" borderId="0"/>
  </cellStyleXfs>
  <cellXfs count="154">
    <xf numFmtId="0" fontId="0" fillId="0" borderId="0" xfId="0"/>
    <xf numFmtId="0" fontId="13" fillId="7" borderId="0" xfId="0" applyFont="1" applyFill="1" applyAlignment="1">
      <alignment horizontal="center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11" fillId="0" borderId="0" xfId="0" applyFont="1"/>
    <xf numFmtId="0" fontId="12" fillId="0" borderId="0" xfId="0" applyFont="1"/>
    <xf numFmtId="0" fontId="13" fillId="4" borderId="0" xfId="0" applyFont="1" applyFill="1"/>
    <xf numFmtId="166" fontId="13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167" fontId="11" fillId="0" borderId="0" xfId="0" applyNumberFormat="1" applyFont="1"/>
    <xf numFmtId="167" fontId="0" fillId="0" borderId="0" xfId="0" applyNumberFormat="1"/>
    <xf numFmtId="9" fontId="0" fillId="0" borderId="0" xfId="0" applyNumberFormat="1"/>
    <xf numFmtId="167" fontId="13" fillId="5" borderId="0" xfId="0" applyNumberFormat="1" applyFont="1" applyFill="1"/>
    <xf numFmtId="167" fontId="13" fillId="6" borderId="0" xfId="0" applyNumberFormat="1" applyFont="1" applyFill="1"/>
    <xf numFmtId="10" fontId="0" fillId="0" borderId="0" xfId="0" applyNumberFormat="1"/>
    <xf numFmtId="10" fontId="11" fillId="0" borderId="0" xfId="0" applyNumberFormat="1" applyFont="1"/>
    <xf numFmtId="9" fontId="11" fillId="0" borderId="0" xfId="0" applyNumberFormat="1" applyFont="1"/>
    <xf numFmtId="0" fontId="14" fillId="0" borderId="0" xfId="0" applyFont="1"/>
    <xf numFmtId="167" fontId="0" fillId="0" borderId="0" xfId="0" applyNumberFormat="1" applyAlignment="1">
      <alignment horizontal="center"/>
    </xf>
    <xf numFmtId="167" fontId="1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15" fillId="0" borderId="0" xfId="0" applyFont="1"/>
    <xf numFmtId="0" fontId="16" fillId="0" borderId="0" xfId="0" applyFont="1" applyAlignment="1">
      <alignment horizontal="left"/>
    </xf>
    <xf numFmtId="0" fontId="16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3" fillId="7" borderId="0" xfId="0" applyFont="1" applyFill="1" applyAlignment="1">
      <alignment horizontal="left" vertical="center"/>
    </xf>
    <xf numFmtId="168" fontId="13" fillId="7" borderId="0" xfId="0" applyNumberFormat="1" applyFont="1" applyFill="1" applyAlignment="1">
      <alignment horizontal="right"/>
    </xf>
    <xf numFmtId="169" fontId="13" fillId="7" borderId="0" xfId="0" applyNumberFormat="1" applyFont="1" applyFill="1"/>
    <xf numFmtId="0" fontId="11" fillId="8" borderId="0" xfId="0" applyFont="1" applyFill="1" applyAlignment="1">
      <alignment horizontal="left" vertical="center"/>
    </xf>
    <xf numFmtId="0" fontId="0" fillId="8" borderId="0" xfId="0" applyFill="1" applyAlignment="1">
      <alignment horizontal="right"/>
    </xf>
    <xf numFmtId="0" fontId="0" fillId="9" borderId="0" xfId="0" applyFill="1"/>
    <xf numFmtId="170" fontId="0" fillId="0" borderId="0" xfId="0" applyNumberFormat="1" applyAlignment="1">
      <alignment horizontal="right"/>
    </xf>
    <xf numFmtId="170" fontId="0" fillId="9" borderId="0" xfId="0" applyNumberFormat="1" applyFill="1" applyAlignment="1">
      <alignment horizontal="right"/>
    </xf>
    <xf numFmtId="0" fontId="17" fillId="9" borderId="0" xfId="0" applyFont="1" applyFill="1" applyAlignment="1">
      <alignment horizontal="left" vertical="center"/>
    </xf>
    <xf numFmtId="10" fontId="17" fillId="9" borderId="0" xfId="0" applyNumberFormat="1" applyFont="1" applyFill="1" applyAlignment="1">
      <alignment horizontal="right"/>
    </xf>
    <xf numFmtId="0" fontId="11" fillId="0" borderId="2" xfId="0" applyFont="1" applyBorder="1" applyAlignment="1">
      <alignment horizontal="left" vertical="center"/>
    </xf>
    <xf numFmtId="170" fontId="11" fillId="0" borderId="2" xfId="0" applyNumberFormat="1" applyFont="1" applyBorder="1" applyAlignment="1">
      <alignment horizontal="right"/>
    </xf>
    <xf numFmtId="170" fontId="11" fillId="9" borderId="3" xfId="0" applyNumberFormat="1" applyFont="1" applyFill="1" applyBorder="1" applyAlignment="1">
      <alignment horizontal="right"/>
    </xf>
    <xf numFmtId="171" fontId="0" fillId="0" borderId="0" xfId="0" applyNumberFormat="1" applyAlignment="1">
      <alignment horizontal="right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3" xfId="0" applyBorder="1" applyAlignment="1">
      <alignment horizontal="left" vertical="center"/>
    </xf>
    <xf numFmtId="171" fontId="0" fillId="0" borderId="3" xfId="0" applyNumberFormat="1" applyBorder="1" applyAlignment="1">
      <alignment horizontal="right"/>
    </xf>
    <xf numFmtId="171" fontId="0" fillId="9" borderId="3" xfId="0" applyNumberFormat="1" applyFill="1" applyBorder="1" applyAlignment="1">
      <alignment horizontal="right"/>
    </xf>
    <xf numFmtId="0" fontId="11" fillId="0" borderId="4" xfId="0" applyFont="1" applyBorder="1" applyAlignment="1">
      <alignment horizontal="left" vertical="center"/>
    </xf>
    <xf numFmtId="171" fontId="11" fillId="0" borderId="4" xfId="0" applyNumberFormat="1" applyFont="1" applyBorder="1" applyAlignment="1">
      <alignment horizontal="right"/>
    </xf>
    <xf numFmtId="170" fontId="11" fillId="9" borderId="2" xfId="0" applyNumberFormat="1" applyFont="1" applyFill="1" applyBorder="1" applyAlignment="1">
      <alignment horizontal="right"/>
    </xf>
    <xf numFmtId="167" fontId="11" fillId="0" borderId="5" xfId="0" applyNumberFormat="1" applyFont="1" applyBorder="1"/>
    <xf numFmtId="171" fontId="11" fillId="0" borderId="5" xfId="0" applyNumberFormat="1" applyFont="1" applyBorder="1" applyAlignment="1">
      <alignment horizontal="right"/>
    </xf>
    <xf numFmtId="170" fontId="0" fillId="9" borderId="5" xfId="0" applyNumberFormat="1" applyFill="1" applyBorder="1" applyAlignment="1">
      <alignment horizontal="right"/>
    </xf>
    <xf numFmtId="0" fontId="11" fillId="0" borderId="0" xfId="0" applyFont="1" applyAlignment="1">
      <alignment horizontal="left" vertical="center"/>
    </xf>
    <xf numFmtId="171" fontId="11" fillId="0" borderId="0" xfId="0" applyNumberFormat="1" applyFont="1" applyAlignment="1">
      <alignment horizontal="right"/>
    </xf>
    <xf numFmtId="0" fontId="11" fillId="8" borderId="0" xfId="0" applyFont="1" applyFill="1" applyAlignment="1">
      <alignment horizontal="right"/>
    </xf>
    <xf numFmtId="0" fontId="11" fillId="0" borderId="0" xfId="0" applyFont="1" applyAlignment="1">
      <alignment horizontal="right"/>
    </xf>
    <xf numFmtId="0" fontId="18" fillId="0" borderId="0" xfId="0" applyFont="1" applyAlignment="1">
      <alignment horizontal="left" vertical="center"/>
    </xf>
    <xf numFmtId="172" fontId="0" fillId="0" borderId="0" xfId="0" applyNumberFormat="1" applyAlignment="1">
      <alignment vertical="center" wrapText="1"/>
    </xf>
    <xf numFmtId="0" fontId="11" fillId="0" borderId="6" xfId="0" applyFont="1" applyBorder="1" applyAlignment="1">
      <alignment horizontal="left" vertical="center"/>
    </xf>
    <xf numFmtId="172" fontId="11" fillId="0" borderId="6" xfId="0" applyNumberFormat="1" applyFont="1" applyBorder="1" applyAlignment="1">
      <alignment horizontal="right"/>
    </xf>
    <xf numFmtId="170" fontId="11" fillId="9" borderId="6" xfId="0" applyNumberFormat="1" applyFont="1" applyFill="1" applyBorder="1" applyAlignment="1">
      <alignment horizontal="right"/>
    </xf>
    <xf numFmtId="172" fontId="0" fillId="0" borderId="0" xfId="0" applyNumberFormat="1" applyAlignment="1">
      <alignment horizontal="right"/>
    </xf>
    <xf numFmtId="170" fontId="0" fillId="9" borderId="6" xfId="0" applyNumberFormat="1" applyFill="1" applyBorder="1" applyAlignment="1">
      <alignment horizontal="right"/>
    </xf>
    <xf numFmtId="0" fontId="11" fillId="10" borderId="7" xfId="0" applyFont="1" applyFill="1" applyBorder="1" applyAlignment="1">
      <alignment horizontal="left" vertical="center"/>
    </xf>
    <xf numFmtId="172" fontId="11" fillId="10" borderId="7" xfId="0" applyNumberFormat="1" applyFont="1" applyFill="1" applyBorder="1" applyAlignment="1">
      <alignment horizontal="right"/>
    </xf>
    <xf numFmtId="170" fontId="0" fillId="10" borderId="7" xfId="0" applyNumberFormat="1" applyFill="1" applyBorder="1" applyAlignment="1">
      <alignment horizontal="right"/>
    </xf>
    <xf numFmtId="0" fontId="0" fillId="0" borderId="0" xfId="0" applyAlignment="1">
      <alignment wrapText="1"/>
    </xf>
    <xf numFmtId="173" fontId="0" fillId="0" borderId="0" xfId="0" applyNumberFormat="1"/>
    <xf numFmtId="173" fontId="0" fillId="9" borderId="0" xfId="0" applyNumberFormat="1" applyFill="1"/>
    <xf numFmtId="0" fontId="11" fillId="0" borderId="0" xfId="0" applyFont="1" applyAlignment="1">
      <alignment wrapText="1"/>
    </xf>
    <xf numFmtId="1" fontId="0" fillId="0" borderId="0" xfId="0" applyNumberFormat="1"/>
    <xf numFmtId="1" fontId="0" fillId="9" borderId="0" xfId="0" applyNumberFormat="1" applyFill="1"/>
    <xf numFmtId="2" fontId="0" fillId="0" borderId="0" xfId="0" applyNumberFormat="1"/>
    <xf numFmtId="2" fontId="0" fillId="9" borderId="0" xfId="0" applyNumberFormat="1" applyFill="1"/>
    <xf numFmtId="171" fontId="0" fillId="0" borderId="0" xfId="0" applyNumberFormat="1"/>
    <xf numFmtId="170" fontId="0" fillId="0" borderId="0" xfId="0" applyNumberFormat="1"/>
    <xf numFmtId="0" fontId="13" fillId="0" borderId="0" xfId="0" applyFont="1"/>
    <xf numFmtId="169" fontId="13" fillId="0" borderId="0" xfId="0" applyNumberFormat="1" applyFont="1"/>
    <xf numFmtId="0" fontId="13" fillId="0" borderId="0" xfId="0" applyFont="1" applyAlignment="1">
      <alignment horizontal="left" vertical="center"/>
    </xf>
    <xf numFmtId="168" fontId="13" fillId="0" borderId="0" xfId="0" applyNumberFormat="1" applyFont="1" applyAlignment="1">
      <alignment horizontal="right"/>
    </xf>
    <xf numFmtId="167" fontId="11" fillId="0" borderId="7" xfId="0" applyNumberFormat="1" applyFont="1" applyBorder="1"/>
    <xf numFmtId="0" fontId="11" fillId="0" borderId="7" xfId="0" applyFont="1" applyBorder="1"/>
    <xf numFmtId="0" fontId="13" fillId="7" borderId="0" xfId="0" applyFont="1" applyFill="1"/>
    <xf numFmtId="0" fontId="0" fillId="7" borderId="0" xfId="0" applyFill="1"/>
    <xf numFmtId="0" fontId="13" fillId="7" borderId="8" xfId="0" applyFont="1" applyFill="1" applyBorder="1"/>
    <xf numFmtId="175" fontId="19" fillId="0" borderId="0" xfId="0" applyNumberFormat="1" applyFont="1"/>
    <xf numFmtId="175" fontId="0" fillId="0" borderId="0" xfId="0" applyNumberFormat="1"/>
    <xf numFmtId="176" fontId="0" fillId="0" borderId="0" xfId="0" applyNumberFormat="1"/>
    <xf numFmtId="0" fontId="19" fillId="0" borderId="0" xfId="0" applyFont="1"/>
    <xf numFmtId="175" fontId="19" fillId="0" borderId="0" xfId="0" applyNumberFormat="1" applyFont="1" applyAlignment="1">
      <alignment vertical="center" wrapText="1"/>
    </xf>
    <xf numFmtId="0" fontId="11" fillId="10" borderId="0" xfId="0" applyFont="1" applyFill="1"/>
    <xf numFmtId="43" fontId="22" fillId="0" borderId="0" xfId="1" applyFont="1"/>
    <xf numFmtId="43" fontId="0" fillId="0" borderId="0" xfId="1" applyFont="1"/>
    <xf numFmtId="166" fontId="23" fillId="14" borderId="0" xfId="1" applyNumberFormat="1" applyFont="1" applyFill="1"/>
    <xf numFmtId="166" fontId="23" fillId="14" borderId="0" xfId="0" applyNumberFormat="1" applyFont="1" applyFill="1" applyAlignment="1">
      <alignment horizontal="center"/>
    </xf>
    <xf numFmtId="166" fontId="26" fillId="0" borderId="0" xfId="1" applyNumberFormat="1" applyFont="1"/>
    <xf numFmtId="43" fontId="21" fillId="0" borderId="0" xfId="1" applyFont="1"/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0" fontId="27" fillId="15" borderId="0" xfId="0" applyFont="1" applyFill="1"/>
    <xf numFmtId="0" fontId="0" fillId="0" borderId="5" xfId="0" applyBorder="1"/>
    <xf numFmtId="9" fontId="0" fillId="0" borderId="0" xfId="0" applyNumberFormat="1" applyAlignment="1">
      <alignment vertical="center" wrapText="1"/>
    </xf>
    <xf numFmtId="0" fontId="13" fillId="15" borderId="0" xfId="0" applyFont="1" applyFill="1" applyAlignment="1">
      <alignment horizontal="center" vertical="center" wrapText="1"/>
    </xf>
    <xf numFmtId="0" fontId="27" fillId="15" borderId="0" xfId="0" applyFont="1" applyFill="1" applyAlignment="1">
      <alignment vertical="center" wrapText="1"/>
    </xf>
    <xf numFmtId="0" fontId="0" fillId="0" borderId="5" xfId="0" applyBorder="1" applyAlignment="1">
      <alignment vertical="center" wrapText="1"/>
    </xf>
    <xf numFmtId="10" fontId="0" fillId="0" borderId="5" xfId="0" applyNumberFormat="1" applyBorder="1"/>
    <xf numFmtId="9" fontId="0" fillId="0" borderId="0" xfId="9" applyFont="1" applyAlignment="1">
      <alignment vertical="center" wrapText="1"/>
    </xf>
    <xf numFmtId="9" fontId="0" fillId="0" borderId="0" xfId="9" applyFont="1"/>
    <xf numFmtId="10" fontId="0" fillId="0" borderId="0" xfId="0" applyNumberFormat="1" applyAlignment="1">
      <alignment vertical="center" wrapText="1"/>
    </xf>
    <xf numFmtId="10" fontId="0" fillId="0" borderId="0" xfId="9" applyNumberFormat="1" applyFont="1" applyAlignment="1">
      <alignment vertical="center" wrapText="1"/>
    </xf>
    <xf numFmtId="164" fontId="0" fillId="0" borderId="0" xfId="9" applyNumberFormat="1" applyFont="1" applyAlignment="1">
      <alignment vertical="center" wrapText="1"/>
    </xf>
    <xf numFmtId="0" fontId="27" fillId="0" borderId="0" xfId="0" applyFont="1"/>
    <xf numFmtId="0" fontId="1" fillId="0" borderId="0" xfId="0" applyFont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9" xfId="0" applyBorder="1"/>
    <xf numFmtId="2" fontId="0" fillId="0" borderId="9" xfId="0" applyNumberFormat="1" applyBorder="1"/>
    <xf numFmtId="2" fontId="0" fillId="0" borderId="0" xfId="0" applyNumberFormat="1" applyAlignment="1">
      <alignment horizontal="right" vertical="center" wrapText="1"/>
    </xf>
    <xf numFmtId="164" fontId="0" fillId="0" borderId="0" xfId="9" applyNumberFormat="1" applyFont="1"/>
    <xf numFmtId="164" fontId="0" fillId="0" borderId="0" xfId="0" applyNumberFormat="1"/>
    <xf numFmtId="0" fontId="28" fillId="0" borderId="9" xfId="0" applyFont="1" applyBorder="1" applyAlignment="1">
      <alignment vertical="center" wrapText="1"/>
    </xf>
    <xf numFmtId="0" fontId="28" fillId="0" borderId="9" xfId="0" applyFont="1" applyBorder="1"/>
    <xf numFmtId="0" fontId="28" fillId="16" borderId="0" xfId="0" applyFont="1" applyFill="1" applyAlignment="1">
      <alignment vertical="center" wrapText="1"/>
    </xf>
    <xf numFmtId="0" fontId="28" fillId="16" borderId="0" xfId="0" applyFont="1" applyFill="1"/>
    <xf numFmtId="171" fontId="28" fillId="16" borderId="0" xfId="0" applyNumberFormat="1" applyFont="1" applyFill="1"/>
    <xf numFmtId="0" fontId="30" fillId="17" borderId="0" xfId="0" applyFont="1" applyFill="1"/>
    <xf numFmtId="164" fontId="31" fillId="0" borderId="0" xfId="0" applyNumberFormat="1" applyFont="1"/>
    <xf numFmtId="0" fontId="5" fillId="2" borderId="0" xfId="0" applyFont="1" applyFill="1" applyAlignment="1">
      <alignment horizontal="left" vertical="center" indent="1"/>
    </xf>
    <xf numFmtId="0" fontId="0" fillId="0" borderId="0" xfId="0"/>
    <xf numFmtId="164" fontId="7" fillId="0" borderId="1" xfId="0" applyNumberFormat="1" applyFont="1" applyBorder="1" applyAlignment="1">
      <alignment horizontal="right"/>
    </xf>
    <xf numFmtId="0" fontId="0" fillId="0" borderId="10" xfId="0" applyBorder="1"/>
    <xf numFmtId="171" fontId="4" fillId="3" borderId="0" xfId="0" applyNumberFormat="1" applyFont="1" applyFill="1" applyAlignment="1">
      <alignment horizontal="left" vertical="center"/>
    </xf>
    <xf numFmtId="0" fontId="6" fillId="0" borderId="1" xfId="0" applyFont="1" applyBorder="1"/>
    <xf numFmtId="177" fontId="7" fillId="0" borderId="1" xfId="0" applyNumberFormat="1" applyFont="1" applyBorder="1" applyAlignment="1">
      <alignment horizontal="right"/>
    </xf>
    <xf numFmtId="0" fontId="3" fillId="3" borderId="0" xfId="0" applyFont="1" applyFill="1"/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indent="1"/>
    </xf>
    <xf numFmtId="164" fontId="4" fillId="3" borderId="0" xfId="0" applyNumberFormat="1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13" fillId="7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16" borderId="0" xfId="0" applyFill="1" applyAlignment="1">
      <alignment horizontal="center"/>
    </xf>
    <xf numFmtId="0" fontId="13" fillId="15" borderId="0" xfId="0" applyFont="1" applyFill="1" applyAlignment="1">
      <alignment horizontal="center" vertical="center" wrapText="1"/>
    </xf>
    <xf numFmtId="0" fontId="29" fillId="15" borderId="0" xfId="0" applyFont="1" applyFill="1" applyAlignment="1">
      <alignment horizontal="center" vertical="center" wrapText="1"/>
    </xf>
    <xf numFmtId="0" fontId="27" fillId="15" borderId="0" xfId="0" applyFont="1" applyFill="1" applyAlignment="1">
      <alignment horizontal="center"/>
    </xf>
    <xf numFmtId="43" fontId="23" fillId="13" borderId="0" xfId="7" applyNumberFormat="1" applyFont="1" applyAlignment="1">
      <alignment horizontal="center"/>
    </xf>
    <xf numFmtId="43" fontId="0" fillId="0" borderId="0" xfId="1" applyFont="1"/>
    <xf numFmtId="43" fontId="24" fillId="0" borderId="0" xfId="4" applyNumberFormat="1" applyAlignment="1" applyProtection="1">
      <alignment horizontal="center"/>
    </xf>
    <xf numFmtId="43" fontId="22" fillId="0" borderId="0" xfId="1" applyFont="1"/>
    <xf numFmtId="0" fontId="30" fillId="18" borderId="0" xfId="0" applyFont="1" applyFill="1"/>
    <xf numFmtId="0" fontId="0" fillId="19" borderId="0" xfId="0" applyFill="1"/>
    <xf numFmtId="0" fontId="0" fillId="0" borderId="0" xfId="0" applyAlignment="1">
      <alignment horizontal="left" vertical="center" indent="1"/>
    </xf>
    <xf numFmtId="0" fontId="32" fillId="19" borderId="0" xfId="0" applyFont="1" applyFill="1" applyAlignment="1">
      <alignment vertical="center"/>
    </xf>
    <xf numFmtId="0" fontId="0" fillId="0" borderId="0" xfId="0" applyAlignment="1">
      <alignment wrapText="1"/>
    </xf>
  </cellXfs>
  <cellStyles count="10">
    <cellStyle name="60% - Accent1 2" xfId="5" xr:uid="{00000000-0005-0000-0000-000005000000}"/>
    <cellStyle name="60% - Accent3 2" xfId="6" xr:uid="{00000000-0005-0000-0000-000006000000}"/>
    <cellStyle name="Accent6 2" xfId="7" xr:uid="{00000000-0005-0000-0000-000007000000}"/>
    <cellStyle name="Comma" xfId="1" builtinId="3"/>
    <cellStyle name="Comma 2" xfId="3" xr:uid="{00000000-0005-0000-0000-000003000000}"/>
    <cellStyle name="Hyperlink 2" xfId="4" xr:uid="{00000000-0005-0000-0000-000004000000}"/>
    <cellStyle name="Normal" xfId="0" builtinId="0"/>
    <cellStyle name="Normal 2" xfId="2" xr:uid="{00000000-0005-0000-0000-000002000000}"/>
    <cellStyle name="Percent" xfId="9" builtinId="5"/>
    <cellStyle name="Percent 2" xfId="8" xr:uid="{00000000-0005-0000-0000-000008000000}"/>
  </cellStyles>
  <dxfs count="5">
    <dxf>
      <font>
        <b/>
        <color theme="0"/>
      </font>
      <fill>
        <patternFill>
          <bgColor theme="5"/>
        </patternFill>
      </fill>
    </dxf>
    <dxf>
      <font>
        <b/>
        <sz val="20"/>
        <color rgb="FFC00000"/>
      </font>
    </dxf>
    <dxf>
      <font>
        <b/>
        <sz val="20"/>
        <color rgb="FF008000"/>
      </font>
    </dxf>
    <dxf>
      <font>
        <b/>
        <sz val="20"/>
        <color rgb="FF008000"/>
      </font>
    </dxf>
    <dxf>
      <font>
        <b/>
        <sz val="20"/>
        <color rgb="FFC0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FBFBF"/>
      <rgbColor rgb="FF808080"/>
      <rgbColor rgb="FF7DA0D0"/>
      <rgbColor rgb="FF7D3C4A"/>
      <rgbColor rgb="FFF2F2F2"/>
      <rgbColor rgb="FFD9E1F2"/>
      <rgbColor rgb="FF660066"/>
      <rgbColor rgb="FFF3A276"/>
      <rgbColor rgb="FF0275D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7ACBE0"/>
      <rgbColor rgb="FFFF99CC"/>
      <rgbColor rgb="FFB3B3B3"/>
      <rgbColor rgb="FFFFCC99"/>
      <rgbColor rgb="FF3366FF"/>
      <rgbColor rgb="FF33CCCC"/>
      <rgbColor rgb="FF99CC00"/>
      <rgbColor rgb="FFFFCC00"/>
      <rgbColor rgb="FFFF8119"/>
      <rgbColor rgb="FFFF6600"/>
      <rgbColor rgb="FF595959"/>
      <rgbColor rgb="FFA6A6A6"/>
      <rgbColor rgb="FF1F4E78"/>
      <rgbColor rgb="FF2DA2BF"/>
      <rgbColor rgb="FF003300"/>
      <rgbColor rgb="FF333300"/>
      <rgbColor rgb="FFDA1F28"/>
      <rgbColor rgb="FF993366"/>
      <rgbColor rgb="FF2B4A7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Revenue vs Net Profit — 10 Year Trend (₹ Cr)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374270239147318"/>
          <c:y val="0.1932312910411062"/>
          <c:w val="0.50503183498031656"/>
          <c:h val="0.401678527003963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'3Statement Model'!$B$7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2DA2BF"/>
            </a:solidFill>
            <a:ln w="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'3Statement Model'!$C$3:$L$3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'3Statement Model'!$C$7:$L$7</c:f>
              <c:numCache>
                <c:formatCode>"₹ "#,##0.0</c:formatCode>
                <c:ptCount val="10"/>
                <c:pt idx="0">
                  <c:v>1922.84</c:v>
                </c:pt>
                <c:pt idx="1">
                  <c:v>2751.34</c:v>
                </c:pt>
                <c:pt idx="2">
                  <c:v>2449.92</c:v>
                </c:pt>
                <c:pt idx="3">
                  <c:v>2357.88</c:v>
                </c:pt>
                <c:pt idx="4">
                  <c:v>3625.93</c:v>
                </c:pt>
                <c:pt idx="5">
                  <c:v>4298.05</c:v>
                </c:pt>
                <c:pt idx="6">
                  <c:v>4177.76</c:v>
                </c:pt>
                <c:pt idx="7">
                  <c:v>7069.35</c:v>
                </c:pt>
                <c:pt idx="8">
                  <c:v>8339.5400000000009</c:v>
                </c:pt>
                <c:pt idx="9">
                  <c:v>9381.3700000000008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6-4D46-A283-7038B904E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60234"/>
        <c:axId val="65692429"/>
      </c:barChart>
      <c:lineChart>
        <c:grouping val="standard"/>
        <c:varyColors val="0"/>
        <c:ser>
          <c:idx val="1"/>
          <c:order val="1"/>
          <c:tx>
            <c:strRef>
              <c:f>'3Statement Model'!$B$32</c:f>
              <c:strCache>
                <c:ptCount val="1"/>
                <c:pt idx="0">
                  <c:v>Net Profit</c:v>
                </c:pt>
              </c:strCache>
            </c:strRef>
          </c:tx>
          <c:spPr>
            <a:ln w="0">
              <a:solidFill>
                <a:srgbClr val="FFFFFF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'3Statement Model'!$C$3:$L$3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'3Statement Model'!$C$32:$L$32</c:f>
              <c:numCache>
                <c:formatCode>"₹ "#,##0.0</c:formatCode>
                <c:ptCount val="10"/>
                <c:pt idx="0">
                  <c:v>391.62999999999977</c:v>
                </c:pt>
                <c:pt idx="1">
                  <c:v>622.22</c:v>
                </c:pt>
                <c:pt idx="2">
                  <c:v>273.42999999999995</c:v>
                </c:pt>
                <c:pt idx="3">
                  <c:v>207.86999999999983</c:v>
                </c:pt>
                <c:pt idx="4">
                  <c:v>1282.8699999999999</c:v>
                </c:pt>
                <c:pt idx="5">
                  <c:v>1288.9399999999998</c:v>
                </c:pt>
                <c:pt idx="6">
                  <c:v>913.45999999999981</c:v>
                </c:pt>
                <c:pt idx="7">
                  <c:v>2384.4500000000007</c:v>
                </c:pt>
                <c:pt idx="8">
                  <c:v>2430.5000000000009</c:v>
                </c:pt>
                <c:pt idx="9">
                  <c:v>1830.3799999999997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DD6-4D46-A283-7038B904E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  <a:prstDash val="solid"/>
            </a:ln>
          </c:spPr>
        </c:hiLowLines>
        <c:marker val="1"/>
        <c:smooth val="0"/>
        <c:axId val="34741491"/>
        <c:axId val="31358268"/>
      </c:lineChart>
      <c:dateAx>
        <c:axId val="6546023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Fiscal Year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mmm/yy&quot; A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  <a:prstDash val="solid"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5692429"/>
        <c:crosses val="autoZero"/>
        <c:auto val="1"/>
        <c:lblOffset val="100"/>
        <c:baseTimeUnit val="years"/>
      </c:dateAx>
      <c:valAx>
        <c:axId val="65692429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  <a:prstDash val="solid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Revenue (₹ Cr)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&quot;₹ &quot;#,##0.0" sourceLinked="1"/>
        <c:majorTickMark val="none"/>
        <c:minorTickMark val="none"/>
        <c:tickLblPos val="nextTo"/>
        <c:spPr>
          <a:ln w="0">
            <a:solidFill>
              <a:srgbClr val="B3B3B3"/>
            </a:solidFill>
            <a:prstDash val="solid"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5460234"/>
        <c:crosses val="autoZero"/>
        <c:crossBetween val="between"/>
      </c:valAx>
      <c:dateAx>
        <c:axId val="3474149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Fiscal Year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mmm/yy&quot; A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  <a:prstDash val="solid"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1358268"/>
        <c:crosses val="autoZero"/>
        <c:auto val="1"/>
        <c:lblOffset val="100"/>
        <c:baseTimeUnit val="years"/>
      </c:dateAx>
      <c:valAx>
        <c:axId val="31358268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Net Profit (₹ Cr)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&quot;₹ &quot;#,##0.0" sourceLinked="1"/>
        <c:majorTickMark val="none"/>
        <c:minorTickMark val="none"/>
        <c:tickLblPos val="nextTo"/>
        <c:spPr>
          <a:ln w="0">
            <a:solidFill>
              <a:srgbClr val="B3B3B3"/>
            </a:solidFill>
            <a:prstDash val="solid"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741491"/>
        <c:crosses val="max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Margin Trend — 10 Year (%)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'3Statement Model'!$B$18</c:f>
              <c:strCache>
                <c:ptCount val="1"/>
                <c:pt idx="0">
                  <c:v>EBITDA Margins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'3Statement Model'!$C$3:$L$3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'3Statement Model'!$C$18:$L$18</c:f>
              <c:numCache>
                <c:formatCode>0.00%</c:formatCode>
                <c:ptCount val="10"/>
                <c:pt idx="0">
                  <c:v>0.52413097293586564</c:v>
                </c:pt>
                <c:pt idx="1">
                  <c:v>0.50666220823307917</c:v>
                </c:pt>
                <c:pt idx="2">
                  <c:v>0.37016718913270635</c:v>
                </c:pt>
                <c:pt idx="3">
                  <c:v>0.34430929479023525</c:v>
                </c:pt>
                <c:pt idx="4">
                  <c:v>0.55603114235520268</c:v>
                </c:pt>
                <c:pt idx="5">
                  <c:v>0.49335861611661103</c:v>
                </c:pt>
                <c:pt idx="6">
                  <c:v>0.44930776301175751</c:v>
                </c:pt>
                <c:pt idx="7">
                  <c:v>0.57536124254705168</c:v>
                </c:pt>
                <c:pt idx="8">
                  <c:v>0.54509001695537174</c:v>
                </c:pt>
                <c:pt idx="9">
                  <c:v>0.41327332788281451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50F-4AFB-A124-A6052B7816FD}"/>
            </c:ext>
          </c:extLst>
        </c:ser>
        <c:ser>
          <c:idx val="1"/>
          <c:order val="1"/>
          <c:tx>
            <c:strRef>
              <c:f>'Ratio Analysis'!$B$9</c:f>
              <c:strCache>
                <c:ptCount val="1"/>
                <c:pt idx="0">
                  <c:v>Net profit margins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'3Statement Model'!$C$3:$L$3</c:f>
              <c:numCache>
                <c:formatCode>mmm/yy" A"</c:formatCode>
                <c:ptCount val="10"/>
                <c:pt idx="0">
                  <c:v>42825</c:v>
                </c:pt>
                <c:pt idx="1">
                  <c:v>43190</c:v>
                </c:pt>
                <c:pt idx="2">
                  <c:v>43555</c:v>
                </c:pt>
                <c:pt idx="3">
                  <c:v>43921</c:v>
                </c:pt>
                <c:pt idx="4">
                  <c:v>44286</c:v>
                </c:pt>
                <c:pt idx="5">
                  <c:v>44651</c:v>
                </c:pt>
                <c:pt idx="6">
                  <c:v>45016</c:v>
                </c:pt>
                <c:pt idx="7">
                  <c:v>45382</c:v>
                </c:pt>
                <c:pt idx="8">
                  <c:v>45747</c:v>
                </c:pt>
                <c:pt idx="9">
                  <c:v>46112</c:v>
                </c:pt>
              </c:numCache>
            </c:numRef>
          </c:cat>
          <c:val>
            <c:numRef>
              <c:f>'Ratio Analysis'!$C$9:$L$9</c:f>
              <c:numCache>
                <c:formatCode>0.0%;0</c:formatCode>
                <c:ptCount val="10"/>
                <c:pt idx="0">
                  <c:v>0.2036726924757129</c:v>
                </c:pt>
                <c:pt idx="1">
                  <c:v>0.22615162066483968</c:v>
                </c:pt>
                <c:pt idx="2">
                  <c:v>0.11160772596656215</c:v>
                </c:pt>
                <c:pt idx="3">
                  <c:v>8.8159702783856611E-2</c:v>
                </c:pt>
                <c:pt idx="4">
                  <c:v>0.35380440328412294</c:v>
                </c:pt>
                <c:pt idx="5">
                  <c:v>0.29988948476634747</c:v>
                </c:pt>
                <c:pt idx="6">
                  <c:v>0.21864827084370567</c:v>
                </c:pt>
                <c:pt idx="7">
                  <c:v>0.33729409351637712</c:v>
                </c:pt>
                <c:pt idx="8">
                  <c:v>0.29144293330327581</c:v>
                </c:pt>
                <c:pt idx="9">
                  <c:v>0.19510796397541078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50F-4AFB-A124-A6052B781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</c:hiLowLines>
        <c:smooth val="0"/>
        <c:axId val="1638870"/>
        <c:axId val="77752444"/>
      </c:lineChart>
      <c:dateAx>
        <c:axId val="1638870"/>
        <c:scaling>
          <c:orientation val="minMax"/>
        </c:scaling>
        <c:delete val="0"/>
        <c:axPos val="b"/>
        <c:numFmt formatCode="mmm/yy&quot; 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52444"/>
        <c:crosses val="autoZero"/>
        <c:auto val="1"/>
        <c:lblOffset val="100"/>
        <c:baseTimeUnit val="years"/>
      </c:dateAx>
      <c:valAx>
        <c:axId val="777524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87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7</xdr:col>
      <xdr:colOff>251940</xdr:colOff>
      <xdr:row>32</xdr:row>
      <xdr:rowOff>22320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419100</xdr:colOff>
      <xdr:row>16</xdr:row>
      <xdr:rowOff>30480</xdr:rowOff>
    </xdr:from>
    <xdr:to>
      <xdr:col>15</xdr:col>
      <xdr:colOff>111300</xdr:colOff>
      <xdr:row>32</xdr:row>
      <xdr:rowOff>7080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nnual" displayName="Annual" ref="A3:N19" headerRowCount="0" totalsRowShown="0">
  <tableColumns count="14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arters" displayName="Quarters" ref="A3:K14" headerRowCount="0" totalsRowShown="0">
  <tableColumns count="11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Adjacency">
  <a:themeElements>
    <a:clrScheme name="Concourse">
      <a:dk1>
        <a:srgbClr val="000000"/>
      </a:dk1>
      <a:lt1>
        <a:srgbClr val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90000"/>
              </a:schemeClr>
            </a:gs>
            <a:gs pos="75000">
              <a:schemeClr val="phClr">
                <a:shade val="100000"/>
              </a:schemeClr>
            </a:gs>
            <a:gs pos="100000">
              <a:schemeClr val="phClr">
                <a:shade val="70000"/>
              </a:schemeClr>
            </a:gs>
          </a:gsLst>
          <a:path path="circle">
            <a:fillToRect l="20000" t="50000" r="100000" b="50000"/>
          </a:path>
          <a:tileRect/>
        </a:gradFill>
        <a:blipFill rotWithShape="1">
          <a:srcRect/>
          <a:tile tx="0" ty="0" sx="32000" sy="32000" flip="none" algn="tl"/>
        </a:blip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www.screener.in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://www.screener.in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eener.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eener.i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reener.in/excel/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creener.in/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90C-DBF8-4D8C-9BDD-27D663E49A60}">
  <dimension ref="B2:B18"/>
  <sheetViews>
    <sheetView showGridLines="0" workbookViewId="0">
      <selection activeCell="C19" sqref="C19"/>
    </sheetView>
  </sheetViews>
  <sheetFormatPr defaultRowHeight="14.4" x14ac:dyDescent="0.3"/>
  <cols>
    <col min="1" max="1" width="3" customWidth="1"/>
    <col min="2" max="2" width="44.44140625" customWidth="1"/>
  </cols>
  <sheetData>
    <row r="2" spans="2:2" x14ac:dyDescent="0.3">
      <c r="B2" s="100" t="s">
        <v>305</v>
      </c>
    </row>
    <row r="4" spans="2:2" ht="18" x14ac:dyDescent="0.3">
      <c r="B4" s="152" t="s">
        <v>306</v>
      </c>
    </row>
    <row r="5" spans="2:2" x14ac:dyDescent="0.3">
      <c r="B5" s="151"/>
    </row>
    <row r="6" spans="2:2" x14ac:dyDescent="0.3">
      <c r="B6" s="151" t="s">
        <v>307</v>
      </c>
    </row>
    <row r="7" spans="2:2" x14ac:dyDescent="0.3">
      <c r="B7" s="151" t="s">
        <v>308</v>
      </c>
    </row>
    <row r="8" spans="2:2" x14ac:dyDescent="0.3">
      <c r="B8" s="151" t="s">
        <v>309</v>
      </c>
    </row>
    <row r="9" spans="2:2" x14ac:dyDescent="0.3">
      <c r="B9" s="151" t="s">
        <v>310</v>
      </c>
    </row>
    <row r="10" spans="2:2" x14ac:dyDescent="0.3">
      <c r="B10" s="151" t="s">
        <v>311</v>
      </c>
    </row>
    <row r="12" spans="2:2" ht="18" x14ac:dyDescent="0.3">
      <c r="B12" s="152" t="s">
        <v>312</v>
      </c>
    </row>
    <row r="14" spans="2:2" ht="15" customHeight="1" x14ac:dyDescent="0.3">
      <c r="B14" s="153" t="s">
        <v>313</v>
      </c>
    </row>
    <row r="15" spans="2:2" x14ac:dyDescent="0.3">
      <c r="B15" s="153"/>
    </row>
    <row r="16" spans="2:2" x14ac:dyDescent="0.3">
      <c r="B16" s="153"/>
    </row>
    <row r="17" spans="2:2" x14ac:dyDescent="0.3">
      <c r="B17" s="153"/>
    </row>
    <row r="18" spans="2:2" x14ac:dyDescent="0.3">
      <c r="B18" s="153"/>
    </row>
  </sheetData>
  <mergeCells count="1">
    <mergeCell ref="B14:B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17"/>
  <sheetViews>
    <sheetView showGridLines="0" tabSelected="1" zoomScaleNormal="100" workbookViewId="0">
      <selection activeCell="D6" sqref="D6:E7"/>
    </sheetView>
  </sheetViews>
  <sheetFormatPr defaultColWidth="8.6640625" defaultRowHeight="14.4" x14ac:dyDescent="0.3"/>
  <cols>
    <col min="1" max="1" width="3" customWidth="1"/>
    <col min="2" max="5" width="14" customWidth="1"/>
    <col min="6" max="6" width="11.44140625" bestFit="1" customWidth="1"/>
    <col min="7" max="10" width="16" customWidth="1"/>
  </cols>
  <sheetData>
    <row r="2" spans="2:11" x14ac:dyDescent="0.3">
      <c r="B2" s="136" t="str">
        <f>Data!B1&amp;" — Investment Dashboard"</f>
        <v>MOTILAL OSWAL FINANCIAL SERVICES LTD — Investment Dashboard</v>
      </c>
      <c r="C2" s="128"/>
      <c r="D2" s="128"/>
      <c r="E2" s="128"/>
      <c r="F2" s="128"/>
      <c r="G2" s="128"/>
      <c r="H2" s="128"/>
      <c r="I2" s="128"/>
      <c r="J2" s="128"/>
    </row>
    <row r="3" spans="2:11" x14ac:dyDescent="0.3">
      <c r="B3" s="128"/>
      <c r="C3" s="128"/>
      <c r="D3" s="128"/>
      <c r="E3" s="128"/>
      <c r="F3" s="128"/>
      <c r="G3" s="128"/>
      <c r="H3" s="128"/>
      <c r="I3" s="128"/>
      <c r="J3" s="128"/>
    </row>
    <row r="5" spans="2:11" x14ac:dyDescent="0.3">
      <c r="B5" s="134" t="s">
        <v>0</v>
      </c>
      <c r="C5" s="128"/>
      <c r="D5" s="134" t="s">
        <v>1</v>
      </c>
      <c r="E5" s="128"/>
      <c r="F5" s="134" t="s">
        <v>2</v>
      </c>
      <c r="G5" s="128"/>
      <c r="H5" s="134" t="s">
        <v>3</v>
      </c>
      <c r="I5" s="128"/>
    </row>
    <row r="6" spans="2:11" x14ac:dyDescent="0.3">
      <c r="B6" s="131">
        <f>Data!B8</f>
        <v>940.25</v>
      </c>
      <c r="C6" s="128"/>
      <c r="D6" s="131">
        <f>DCF!K38</f>
        <v>1717.3686382102189</v>
      </c>
      <c r="E6" s="128"/>
      <c r="F6" s="137">
        <f>(DCF!K38/Data!B8)-1</f>
        <v>0.82650214114354581</v>
      </c>
      <c r="G6" s="128"/>
      <c r="H6" s="138" t="str">
        <f>DCF!K39</f>
        <v>UNDERVALUED</v>
      </c>
      <c r="I6" s="128"/>
    </row>
    <row r="7" spans="2:11" x14ac:dyDescent="0.3">
      <c r="B7" s="128"/>
      <c r="C7" s="128"/>
      <c r="D7" s="128"/>
      <c r="E7" s="128"/>
      <c r="F7" s="128"/>
      <c r="G7" s="128"/>
      <c r="H7" s="128"/>
      <c r="I7" s="128"/>
    </row>
    <row r="9" spans="2:11" ht="15.6" customHeight="1" x14ac:dyDescent="0.3">
      <c r="B9" s="127" t="s">
        <v>4</v>
      </c>
      <c r="C9" s="128"/>
      <c r="D9" s="128"/>
      <c r="E9" s="128"/>
      <c r="F9" s="135" t="s">
        <v>5</v>
      </c>
      <c r="G9" s="128"/>
      <c r="H9" s="128"/>
      <c r="I9" s="128"/>
      <c r="J9" s="128"/>
      <c r="K9" s="128"/>
    </row>
    <row r="10" spans="2:11" x14ac:dyDescent="0.3">
      <c r="B10" s="132" t="s">
        <v>6</v>
      </c>
      <c r="C10" s="130"/>
      <c r="D10" s="129">
        <f>'Ratio Analysis'!L9</f>
        <v>0.19510796397541078</v>
      </c>
      <c r="E10" s="130"/>
      <c r="F10" s="2" t="s">
        <v>7</v>
      </c>
      <c r="G10" s="3">
        <f>DCF!C61</f>
        <v>0.02</v>
      </c>
      <c r="H10" s="3">
        <f>DCF!D61</f>
        <v>0.03</v>
      </c>
      <c r="I10" s="3">
        <f>DCF!E61</f>
        <v>0.04</v>
      </c>
      <c r="J10" s="3">
        <f>DCF!F61</f>
        <v>0.05</v>
      </c>
      <c r="K10" s="3">
        <f>DCF!G61</f>
        <v>0.06</v>
      </c>
    </row>
    <row r="11" spans="2:11" x14ac:dyDescent="0.3">
      <c r="B11" s="132" t="s">
        <v>8</v>
      </c>
      <c r="C11" s="130"/>
      <c r="D11" s="129">
        <f>'Ratio Analysis'!L11</f>
        <v>0.14202071364946939</v>
      </c>
      <c r="E11" s="130"/>
      <c r="F11" s="3">
        <f>DCF!B62</f>
        <v>7.8124264069865917E-2</v>
      </c>
      <c r="G11" s="4">
        <f>DCF!C62</f>
        <v>1504.9177594470282</v>
      </c>
      <c r="H11" s="4">
        <f>DCF!D62</f>
        <v>1781.3815036630563</v>
      </c>
      <c r="I11" s="4">
        <f>DCF!E62</f>
        <v>2202.8782083629299</v>
      </c>
      <c r="J11" s="4">
        <f>DCF!F62</f>
        <v>2924.1137461592339</v>
      </c>
      <c r="K11" s="4">
        <f>DCF!G62</f>
        <v>4441.2277097123733</v>
      </c>
    </row>
    <row r="12" spans="2:11" x14ac:dyDescent="0.3">
      <c r="B12" s="132" t="s">
        <v>9</v>
      </c>
      <c r="C12" s="130"/>
      <c r="D12" s="133">
        <f>'Ratio Analysis'!L14</f>
        <v>1.6492017454834373</v>
      </c>
      <c r="E12" s="130"/>
      <c r="F12" s="3">
        <f>DCF!B63</f>
        <v>8.3124264069865908E-2</v>
      </c>
      <c r="G12" s="4">
        <f>DCF!C63</f>
        <v>1374.1660868015617</v>
      </c>
      <c r="H12" s="4">
        <f>DCF!D63</f>
        <v>1600.5432641069954</v>
      </c>
      <c r="I12" s="4">
        <f>DCF!E63</f>
        <v>1931.9087500540224</v>
      </c>
      <c r="J12" s="4">
        <f>DCF!F63</f>
        <v>2463.3484083649155</v>
      </c>
      <c r="K12" s="4">
        <f>DCF!G63</f>
        <v>3454.4261824707501</v>
      </c>
    </row>
    <row r="13" spans="2:11" x14ac:dyDescent="0.3">
      <c r="B13" s="132" t="s">
        <v>10</v>
      </c>
      <c r="C13" s="130"/>
      <c r="D13" s="133">
        <f>'Ratio Analysis'!L16</f>
        <v>2.8182967801797352</v>
      </c>
      <c r="E13" s="130"/>
      <c r="F13" s="3">
        <f>DCF!B64</f>
        <v>8.8124264069865912E-2</v>
      </c>
      <c r="G13" s="4">
        <f>DCF!C64</f>
        <v>1262.7103349344566</v>
      </c>
      <c r="H13" s="4">
        <f>DCF!D64</f>
        <v>1450.9285997033653</v>
      </c>
      <c r="I13" s="4">
        <f>DCF!E64</f>
        <v>1717.3686382102189</v>
      </c>
      <c r="J13" s="4">
        <f>DCF!F64</f>
        <v>2123.5831982756163</v>
      </c>
      <c r="K13" s="4">
        <f>DCF!G64</f>
        <v>2818.6690042205746</v>
      </c>
    </row>
    <row r="14" spans="2:11" x14ac:dyDescent="0.3">
      <c r="B14" s="132" t="s">
        <v>11</v>
      </c>
      <c r="C14" s="130"/>
      <c r="D14" s="133">
        <f>'Ratio Analysis'!L26</f>
        <v>1.5086926980304463</v>
      </c>
      <c r="E14" s="130"/>
      <c r="F14" s="3">
        <f>DCF!B65</f>
        <v>9.3124264069865917E-2</v>
      </c>
      <c r="G14" s="4">
        <f>DCF!C65</f>
        <v>1166.59001919362</v>
      </c>
      <c r="H14" s="4">
        <f>DCF!D65</f>
        <v>1325.1154934184806</v>
      </c>
      <c r="I14" s="4">
        <f>DCF!E65</f>
        <v>1543.3219729242339</v>
      </c>
      <c r="J14" s="4">
        <f>DCF!F65</f>
        <v>1862.7273872812511</v>
      </c>
      <c r="K14" s="4">
        <f>DCF!G65</f>
        <v>2374.9856382678313</v>
      </c>
    </row>
    <row r="15" spans="2:11" x14ac:dyDescent="0.3">
      <c r="B15" s="132" t="s">
        <v>12</v>
      </c>
      <c r="C15" s="130"/>
      <c r="D15" s="133">
        <f>'Ratio Analysis'!L32</f>
        <v>20.807276357914752</v>
      </c>
      <c r="E15" s="130"/>
      <c r="F15" s="3">
        <f>DCF!B66</f>
        <v>9.8124264069865907E-2</v>
      </c>
      <c r="G15" s="4">
        <f>DCF!C66</f>
        <v>1082.8586114680693</v>
      </c>
      <c r="H15" s="4">
        <f>DCF!D66</f>
        <v>1217.8609591427164</v>
      </c>
      <c r="I15" s="4">
        <f>DCF!E66</f>
        <v>1399.316315671763</v>
      </c>
      <c r="J15" s="4">
        <f>DCF!F66</f>
        <v>1656.1828436903572</v>
      </c>
      <c r="K15" s="4">
        <f>DCF!G66</f>
        <v>2047.8016268857934</v>
      </c>
    </row>
    <row r="17" ht="3.75" customHeight="1" x14ac:dyDescent="0.3"/>
  </sheetData>
  <mergeCells count="23">
    <mergeCell ref="B15:C15"/>
    <mergeCell ref="H6:I7"/>
    <mergeCell ref="D15:E15"/>
    <mergeCell ref="B5:C5"/>
    <mergeCell ref="D5:E5"/>
    <mergeCell ref="D14:E14"/>
    <mergeCell ref="H5:I5"/>
    <mergeCell ref="B2:J3"/>
    <mergeCell ref="B10:C10"/>
    <mergeCell ref="D6:E7"/>
    <mergeCell ref="F6:G7"/>
    <mergeCell ref="D12:E12"/>
    <mergeCell ref="D13:E13"/>
    <mergeCell ref="F5:G5"/>
    <mergeCell ref="F9:K9"/>
    <mergeCell ref="B14:C14"/>
    <mergeCell ref="B13:C13"/>
    <mergeCell ref="B9:E9"/>
    <mergeCell ref="D10:E10"/>
    <mergeCell ref="B6:C7"/>
    <mergeCell ref="B12:C12"/>
    <mergeCell ref="B11:C11"/>
    <mergeCell ref="D11:E11"/>
  </mergeCells>
  <conditionalFormatting sqref="F6:G7">
    <cfRule type="expression" dxfId="4" priority="4">
      <formula>$F$6&lt;0</formula>
    </cfRule>
    <cfRule type="expression" dxfId="3" priority="5">
      <formula>$F$6&gt;=0</formula>
    </cfRule>
  </conditionalFormatting>
  <conditionalFormatting sqref="G11:K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:I7">
    <cfRule type="expression" dxfId="2" priority="2">
      <formula>$H$6="UNDERVALUED"</formula>
    </cfRule>
    <cfRule type="expression" dxfId="1" priority="3">
      <formula>$H$6="OVERVALUED"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N25"/>
  <sheetViews>
    <sheetView zoomScale="120" zoomScaleNormal="120" workbookViewId="0">
      <pane xSplit="1" ySplit="4" topLeftCell="C5" activePane="bottomRight" state="frozen"/>
      <selection pane="topRight" activeCell="C1" sqref="C1"/>
      <selection pane="bottomLeft" activeCell="A5" sqref="A5"/>
      <selection pane="bottomRight" activeCell="M15" sqref="M15"/>
    </sheetView>
  </sheetViews>
  <sheetFormatPr defaultColWidth="8.77734375" defaultRowHeight="14.4" x14ac:dyDescent="0.3"/>
  <cols>
    <col min="1" max="1" width="20.6640625" customWidth="1"/>
    <col min="2" max="6" width="13.44140625" customWidth="1"/>
    <col min="7" max="7" width="14.77734375" customWidth="1"/>
    <col min="8" max="11" width="13.44140625" customWidth="1"/>
    <col min="12" max="12" width="13.33203125" customWidth="1"/>
    <col min="13" max="14" width="12.109375" customWidth="1"/>
  </cols>
  <sheetData>
    <row r="1" spans="1:14" s="5" customFormat="1" ht="14.25" customHeight="1" x14ac:dyDescent="0.3">
      <c r="A1" s="5" t="str">
        <f>Data!B1</f>
        <v>MOTILAL OSWAL FINANCIAL SERVICES LTD</v>
      </c>
      <c r="H1" s="5" t="str">
        <f>UPDATE</f>
        <v/>
      </c>
      <c r="J1" s="6"/>
      <c r="K1" s="6"/>
      <c r="M1" s="5" t="s">
        <v>13</v>
      </c>
    </row>
    <row r="3" spans="1:14" s="5" customFormat="1" ht="14.25" customHeight="1" x14ac:dyDescent="0.3">
      <c r="A3" s="7" t="s">
        <v>14</v>
      </c>
      <c r="B3" s="8">
        <f>Data!B16</f>
        <v>42825</v>
      </c>
      <c r="C3" s="8">
        <f>Data!C16</f>
        <v>43190</v>
      </c>
      <c r="D3" s="8">
        <f>Data!D16</f>
        <v>43555</v>
      </c>
      <c r="E3" s="8">
        <f>Data!E16</f>
        <v>43921</v>
      </c>
      <c r="F3" s="8">
        <f>Data!F16</f>
        <v>44286</v>
      </c>
      <c r="G3" s="8">
        <f>Data!G16</f>
        <v>44651</v>
      </c>
      <c r="H3" s="8">
        <f>Data!H16</f>
        <v>45016</v>
      </c>
      <c r="I3" s="8">
        <f>Data!I16</f>
        <v>45382</v>
      </c>
      <c r="J3" s="8">
        <f>Data!J16</f>
        <v>45747</v>
      </c>
      <c r="K3" s="8">
        <f>Data!K16</f>
        <v>46112</v>
      </c>
      <c r="L3" s="9" t="s">
        <v>15</v>
      </c>
      <c r="M3" s="9" t="s">
        <v>16</v>
      </c>
      <c r="N3" s="9" t="s">
        <v>17</v>
      </c>
    </row>
    <row r="4" spans="1:14" s="5" customFormat="1" ht="14.25" customHeight="1" x14ac:dyDescent="0.3">
      <c r="A4" s="5" t="s">
        <v>18</v>
      </c>
      <c r="B4" s="10">
        <f>Data!B17</f>
        <v>1922.84</v>
      </c>
      <c r="C4" s="10">
        <f>Data!C17</f>
        <v>2751.34</v>
      </c>
      <c r="D4" s="10">
        <f>Data!D17</f>
        <v>2449.92</v>
      </c>
      <c r="E4" s="10">
        <f>Data!E17</f>
        <v>2357.88</v>
      </c>
      <c r="F4" s="10">
        <f>Data!F17</f>
        <v>3625.93</v>
      </c>
      <c r="G4" s="10">
        <f>Data!G17</f>
        <v>4298.05</v>
      </c>
      <c r="H4" s="10">
        <f>Data!H17</f>
        <v>4177.76</v>
      </c>
      <c r="I4" s="10">
        <f>Data!I17</f>
        <v>7069.35</v>
      </c>
      <c r="J4" s="10">
        <f>Data!J17</f>
        <v>8339.5400000000009</v>
      </c>
      <c r="K4" s="10">
        <f>Data!K17</f>
        <v>9381.3700000000008</v>
      </c>
      <c r="L4" s="10">
        <f>SUM(Quarters!H4:K4)</f>
        <v>10062.73</v>
      </c>
      <c r="M4" s="10">
        <f>$K4+M23*K4</f>
        <v>12284.963126668184</v>
      </c>
      <c r="N4" s="10">
        <f>$K4+N23*L4</f>
        <v>10638.472189797039</v>
      </c>
    </row>
    <row r="5" spans="1:14" ht="14.25" customHeight="1" x14ac:dyDescent="0.3">
      <c r="A5" t="s">
        <v>19</v>
      </c>
      <c r="B5" s="11">
        <f>SUM(Data!B18,Data!B20:B24, -1*Data!B19)</f>
        <v>915.02</v>
      </c>
      <c r="C5" s="11">
        <f>SUM(Data!C18,Data!C20:C24, -1*Data!C19)</f>
        <v>1357.34</v>
      </c>
      <c r="D5" s="11">
        <f>SUM(Data!D18,Data!D20:D24, -1*Data!D19)</f>
        <v>1543.04</v>
      </c>
      <c r="E5" s="11">
        <f>SUM(Data!E18,Data!E20:E24, -1*Data!E19)</f>
        <v>1546.04</v>
      </c>
      <c r="F5" s="11">
        <f>SUM(Data!F18,Data!F20:F24, -1*Data!F19)</f>
        <v>1609.8</v>
      </c>
      <c r="G5" s="11">
        <f>SUM(Data!G18,Data!G20:G24, -1*Data!G19)</f>
        <v>2177.5700000000002</v>
      </c>
      <c r="H5" s="11">
        <f>SUM(Data!H18,Data!H20:H24, -1*Data!H19)</f>
        <v>2300.66</v>
      </c>
      <c r="I5" s="11">
        <f>SUM(Data!I18,Data!I20:I24, -1*Data!I19)</f>
        <v>3001.92</v>
      </c>
      <c r="J5" s="11">
        <f>SUM(Data!J18,Data!J20:J24, -1*Data!J19)</f>
        <v>3793.7400000000002</v>
      </c>
      <c r="K5" s="11">
        <f>SUM(Data!K18,Data!K20:K24, -1*Data!K19)</f>
        <v>5504.3</v>
      </c>
      <c r="L5" s="11">
        <f>SUM(Quarters!H5:K5)</f>
        <v>5943.02</v>
      </c>
      <c r="M5" s="11">
        <f>M4-M6</f>
        <v>6095.3194948134296</v>
      </c>
      <c r="N5" s="11">
        <f>N4-N6</f>
        <v>6283.0517159267511</v>
      </c>
    </row>
    <row r="6" spans="1:14" s="5" customFormat="1" ht="14.25" customHeight="1" x14ac:dyDescent="0.3">
      <c r="A6" s="5" t="s">
        <v>20</v>
      </c>
      <c r="B6" s="10">
        <f t="shared" ref="B6:K6" si="0">B4-B5</f>
        <v>1007.8199999999999</v>
      </c>
      <c r="C6" s="10">
        <f t="shared" si="0"/>
        <v>1394.0000000000002</v>
      </c>
      <c r="D6" s="10">
        <f t="shared" si="0"/>
        <v>906.88000000000011</v>
      </c>
      <c r="E6" s="10">
        <f t="shared" si="0"/>
        <v>811.84000000000015</v>
      </c>
      <c r="F6" s="10">
        <f t="shared" si="0"/>
        <v>2016.1299999999999</v>
      </c>
      <c r="G6" s="10">
        <f t="shared" si="0"/>
        <v>2120.48</v>
      </c>
      <c r="H6" s="10">
        <f t="shared" si="0"/>
        <v>1877.1000000000004</v>
      </c>
      <c r="I6" s="10">
        <f t="shared" si="0"/>
        <v>4067.4300000000003</v>
      </c>
      <c r="J6" s="10">
        <f t="shared" si="0"/>
        <v>4545.8000000000011</v>
      </c>
      <c r="K6" s="10">
        <f t="shared" si="0"/>
        <v>3877.0700000000006</v>
      </c>
      <c r="L6" s="10">
        <f>SUM(Quarters!H6:K6)</f>
        <v>4119.71</v>
      </c>
      <c r="M6" s="10">
        <f>M4*M24</f>
        <v>6189.6436318547549</v>
      </c>
      <c r="N6" s="10">
        <f>N4*N24</f>
        <v>4355.4204738702883</v>
      </c>
    </row>
    <row r="7" spans="1:14" ht="14.25" customHeight="1" x14ac:dyDescent="0.3">
      <c r="A7" t="s">
        <v>21</v>
      </c>
      <c r="B7" s="11">
        <f>Data!B25</f>
        <v>-27.1</v>
      </c>
      <c r="C7" s="11">
        <f>Data!C25</f>
        <v>1</v>
      </c>
      <c r="D7" s="11">
        <f>Data!D25</f>
        <v>11.82</v>
      </c>
      <c r="E7" s="11">
        <f>Data!E25</f>
        <v>7.53</v>
      </c>
      <c r="F7" s="11">
        <f>Data!F25</f>
        <v>-79.91</v>
      </c>
      <c r="G7" s="11">
        <f>Data!G25</f>
        <v>21.78</v>
      </c>
      <c r="H7" s="11">
        <f>Data!H25</f>
        <v>19.36</v>
      </c>
      <c r="I7" s="11">
        <f>Data!I25</f>
        <v>61.17</v>
      </c>
      <c r="J7" s="11">
        <f>Data!J25</f>
        <v>77.680000000000007</v>
      </c>
      <c r="K7" s="11">
        <f>Data!K25</f>
        <v>42.08</v>
      </c>
      <c r="L7" s="11">
        <f>SUM(Quarters!H7:K7)</f>
        <v>41.78</v>
      </c>
      <c r="M7" s="11">
        <v>0</v>
      </c>
      <c r="N7" s="11">
        <v>0</v>
      </c>
    </row>
    <row r="8" spans="1:14" ht="14.25" customHeight="1" x14ac:dyDescent="0.3">
      <c r="A8" t="s">
        <v>22</v>
      </c>
      <c r="B8" s="11">
        <f>Data!B26</f>
        <v>32.840000000000003</v>
      </c>
      <c r="C8" s="11">
        <f>Data!C26</f>
        <v>37.49</v>
      </c>
      <c r="D8" s="11">
        <f>Data!D26</f>
        <v>23.95</v>
      </c>
      <c r="E8" s="11">
        <f>Data!E26</f>
        <v>39.71</v>
      </c>
      <c r="F8" s="11">
        <f>Data!F26</f>
        <v>47.52</v>
      </c>
      <c r="G8" s="11">
        <f>Data!G26</f>
        <v>48.26</v>
      </c>
      <c r="H8" s="11">
        <f>Data!H26</f>
        <v>58.38</v>
      </c>
      <c r="I8" s="11">
        <f>Data!I26</f>
        <v>82.58</v>
      </c>
      <c r="J8" s="11">
        <f>Data!J26</f>
        <v>98.76</v>
      </c>
      <c r="K8" s="11">
        <f>Data!K26</f>
        <v>110.67</v>
      </c>
      <c r="L8" s="11">
        <f>SUM(Quarters!H8:K8)</f>
        <v>112.42</v>
      </c>
      <c r="M8" s="11">
        <f>+$L8</f>
        <v>112.42</v>
      </c>
      <c r="N8" s="11">
        <f>+$L8</f>
        <v>112.42</v>
      </c>
    </row>
    <row r="9" spans="1:14" ht="14.25" customHeight="1" x14ac:dyDescent="0.3">
      <c r="A9" t="s">
        <v>23</v>
      </c>
      <c r="B9" s="11">
        <f>Data!B27</f>
        <v>442.26</v>
      </c>
      <c r="C9" s="11">
        <f>Data!C27</f>
        <v>528.42999999999995</v>
      </c>
      <c r="D9" s="11">
        <f>Data!D27</f>
        <v>516.85</v>
      </c>
      <c r="E9" s="11">
        <f>Data!E27</f>
        <v>494.47</v>
      </c>
      <c r="F9" s="11">
        <f>Data!F27</f>
        <v>430.28</v>
      </c>
      <c r="G9" s="11">
        <f>Data!G27</f>
        <v>478.19</v>
      </c>
      <c r="H9" s="11">
        <f>Data!H27</f>
        <v>595.83000000000004</v>
      </c>
      <c r="I9" s="11">
        <f>Data!I27</f>
        <v>1014.14</v>
      </c>
      <c r="J9" s="11">
        <f>Data!J27</f>
        <v>1298.46</v>
      </c>
      <c r="K9" s="11">
        <f>Data!K27</f>
        <v>1336.41</v>
      </c>
      <c r="L9" s="11">
        <f>SUM(Quarters!H9:K9)</f>
        <v>1455.73</v>
      </c>
      <c r="M9" s="11">
        <f>+$L9</f>
        <v>1455.73</v>
      </c>
      <c r="N9" s="11">
        <f>+$L9</f>
        <v>1455.73</v>
      </c>
    </row>
    <row r="10" spans="1:14" ht="14.25" customHeight="1" x14ac:dyDescent="0.3">
      <c r="A10" t="s">
        <v>24</v>
      </c>
      <c r="B10" s="11">
        <f>Data!B28</f>
        <v>505.62</v>
      </c>
      <c r="C10" s="11">
        <f>Data!C28</f>
        <v>829.08</v>
      </c>
      <c r="D10" s="11">
        <f>Data!D28</f>
        <v>377.9</v>
      </c>
      <c r="E10" s="11">
        <f>Data!E28</f>
        <v>285.19</v>
      </c>
      <c r="F10" s="11">
        <f>Data!F28</f>
        <v>1458.42</v>
      </c>
      <c r="G10" s="11">
        <f>Data!G28</f>
        <v>1615.81</v>
      </c>
      <c r="H10" s="11">
        <f>Data!H28</f>
        <v>1242.25</v>
      </c>
      <c r="I10" s="11">
        <f>Data!I28</f>
        <v>3031.88</v>
      </c>
      <c r="J10" s="11">
        <f>Data!J28</f>
        <v>3226.26</v>
      </c>
      <c r="K10" s="11">
        <f>Data!K28</f>
        <v>2472.0700000000002</v>
      </c>
      <c r="L10" s="11">
        <f>SUM(Quarters!H10:K10)</f>
        <v>2593.34</v>
      </c>
      <c r="M10" s="11">
        <f>M6+M7-SUM(M8:M9)</f>
        <v>4621.4936318547552</v>
      </c>
      <c r="N10" s="11">
        <f>N6+N7-SUM(N8:N9)</f>
        <v>2787.2704738702882</v>
      </c>
    </row>
    <row r="11" spans="1:14" ht="14.25" customHeight="1" x14ac:dyDescent="0.3">
      <c r="A11" t="s">
        <v>25</v>
      </c>
      <c r="B11" s="11">
        <f>Data!B29</f>
        <v>141.09</v>
      </c>
      <c r="C11" s="11">
        <f>Data!C29</f>
        <v>205.86</v>
      </c>
      <c r="D11" s="11">
        <f>Data!D29</f>
        <v>92.65</v>
      </c>
      <c r="E11" s="11">
        <f>Data!E29</f>
        <v>69.790000000000006</v>
      </c>
      <c r="F11" s="11">
        <f>Data!F29</f>
        <v>255.46</v>
      </c>
      <c r="G11" s="11">
        <f>Data!G29</f>
        <v>305.08999999999997</v>
      </c>
      <c r="H11" s="11">
        <f>Data!H29</f>
        <v>309.43</v>
      </c>
      <c r="I11" s="11">
        <f>Data!I29</f>
        <v>586.26</v>
      </c>
      <c r="J11" s="11">
        <f>Data!J29</f>
        <v>718.08</v>
      </c>
      <c r="K11" s="11">
        <f>Data!K29</f>
        <v>599.61</v>
      </c>
      <c r="L11" s="11">
        <f>SUM(Quarters!H11:K11)</f>
        <v>610.01</v>
      </c>
      <c r="M11" s="12">
        <f>IF($L10&gt;0,$L11/$L10,0)</f>
        <v>0.23522176035537182</v>
      </c>
      <c r="N11" s="12">
        <f>IF($L10&gt;0,$L11/$L10,0)</f>
        <v>0.23522176035537182</v>
      </c>
    </row>
    <row r="12" spans="1:14" s="5" customFormat="1" ht="14.25" customHeight="1" x14ac:dyDescent="0.3">
      <c r="A12" s="5" t="s">
        <v>26</v>
      </c>
      <c r="B12" s="10">
        <f>Data!B30</f>
        <v>359.97</v>
      </c>
      <c r="C12" s="10">
        <f>Data!C30</f>
        <v>622.28</v>
      </c>
      <c r="D12" s="10">
        <f>Data!D30</f>
        <v>293.97000000000003</v>
      </c>
      <c r="E12" s="10">
        <f>Data!E30</f>
        <v>183.37</v>
      </c>
      <c r="F12" s="10">
        <f>Data!F30</f>
        <v>1260.44</v>
      </c>
      <c r="G12" s="10">
        <f>Data!G30</f>
        <v>1309.78</v>
      </c>
      <c r="H12" s="10">
        <f>Data!H30</f>
        <v>931.69</v>
      </c>
      <c r="I12" s="10">
        <f>Data!I30</f>
        <v>2441.06</v>
      </c>
      <c r="J12" s="10">
        <f>Data!J30</f>
        <v>2501.64</v>
      </c>
      <c r="K12" s="10">
        <f>Data!K30</f>
        <v>1869.31</v>
      </c>
      <c r="L12" s="10">
        <f>SUM(Quarters!H12:K12)</f>
        <v>1980.22</v>
      </c>
      <c r="M12" s="10">
        <f>M10-M11*M10</f>
        <v>3534.4177642987388</v>
      </c>
      <c r="N12" s="10">
        <f>N10-N11*N10</f>
        <v>2131.6438064199674</v>
      </c>
    </row>
    <row r="13" spans="1:14" ht="14.25" customHeight="1" x14ac:dyDescent="0.3">
      <c r="A13" t="s">
        <v>27</v>
      </c>
      <c r="B13" s="11">
        <f>IF(Data!B93&gt;0,B12/Data!B93,0)</f>
        <v>6.2300103842159924</v>
      </c>
      <c r="C13" s="11">
        <f>IF(Data!C93&gt;0,C12/Data!C93,0)</f>
        <v>10.72341892124763</v>
      </c>
      <c r="D13" s="11">
        <f>IF(Data!D93&gt;0,D12/Data!D93,0)</f>
        <v>5.0449631027973227</v>
      </c>
      <c r="E13" s="11">
        <f>IF(Data!E93&gt;0,E12/Data!E93,0)</f>
        <v>3.0958973493162252</v>
      </c>
      <c r="F13" s="11">
        <f>IF(Data!F93&gt;0,F12/Data!F93,0)</f>
        <v>21.490878090366582</v>
      </c>
      <c r="G13" s="11">
        <f>IF(Data!G93&gt;0,G12/Data!G93,0)</f>
        <v>21.965118229079319</v>
      </c>
      <c r="H13" s="11">
        <f>IF(Data!H93&gt;0,H12/Data!H93,0)</f>
        <v>15.743325447786415</v>
      </c>
      <c r="I13" s="11">
        <f>IF(Data!I93&gt;0,I12/Data!I93,0)</f>
        <v>40.957382550335566</v>
      </c>
      <c r="J13" s="11">
        <f>IF(Data!J93&gt;0,J12/Data!J93,0)</f>
        <v>41.742699816452529</v>
      </c>
      <c r="K13" s="11">
        <f>IF(Data!K93&gt;0,K12/Data!K93,0)</f>
        <v>31.056820069779032</v>
      </c>
      <c r="L13" s="11">
        <f>IF(Data!$B6&gt;0,'Profit &amp; Loss'!L12/Data!$B6,0)</f>
        <v>32.966215549861019</v>
      </c>
      <c r="M13" s="11">
        <f>IF(Data!$B6&gt;0,'Profit &amp; Loss'!M12/Data!$B6,0)</f>
        <v>58.840117694564292</v>
      </c>
      <c r="N13" s="11">
        <f>IF(Data!$B6&gt;0,'Profit &amp; Loss'!N12/Data!$B6,0)</f>
        <v>35.487081838364858</v>
      </c>
    </row>
    <row r="14" spans="1:14" ht="14.25" customHeight="1" x14ac:dyDescent="0.3">
      <c r="A14" t="s">
        <v>28</v>
      </c>
      <c r="B14" s="11">
        <f t="shared" ref="B14:K14" si="1">IF(B15&gt;0,B15/B13,"")</f>
        <v>29.149229102425199</v>
      </c>
      <c r="C14" s="11">
        <f t="shared" si="1"/>
        <v>23.368479944719422</v>
      </c>
      <c r="D14" s="11">
        <f t="shared" si="1"/>
        <v>29.837681055890059</v>
      </c>
      <c r="E14" s="11">
        <f t="shared" si="1"/>
        <v>40.136989692970495</v>
      </c>
      <c r="F14" s="11">
        <f t="shared" si="1"/>
        <v>7.2681999936530097</v>
      </c>
      <c r="G14" s="11">
        <f t="shared" si="1"/>
        <v>9.901608438058302</v>
      </c>
      <c r="H14" s="11">
        <f t="shared" si="1"/>
        <v>9.6917262179480304</v>
      </c>
      <c r="I14" s="11">
        <f t="shared" si="1"/>
        <v>10.173745831728841</v>
      </c>
      <c r="J14" s="11">
        <f t="shared" si="1"/>
        <v>14.741499776146847</v>
      </c>
      <c r="K14" s="11">
        <f t="shared" si="1"/>
        <v>20.373946803900903</v>
      </c>
      <c r="L14" s="11">
        <f>IF(L13&gt;0,L15/L13,0)</f>
        <v>28.521623859975154</v>
      </c>
      <c r="M14" s="11">
        <f>M25</f>
        <v>28.521623859975154</v>
      </c>
      <c r="N14" s="11">
        <f>N25</f>
        <v>15.56735848795968</v>
      </c>
    </row>
    <row r="15" spans="1:14" s="5" customFormat="1" ht="14.25" customHeight="1" x14ac:dyDescent="0.3">
      <c r="A15" s="5" t="s">
        <v>29</v>
      </c>
      <c r="B15" s="10">
        <f>Data!B90</f>
        <v>181.6</v>
      </c>
      <c r="C15" s="10">
        <f>Data!C90</f>
        <v>250.59</v>
      </c>
      <c r="D15" s="10">
        <f>Data!D90</f>
        <v>150.53</v>
      </c>
      <c r="E15" s="10">
        <f>Data!E90</f>
        <v>124.26</v>
      </c>
      <c r="F15" s="10">
        <f>Data!F90</f>
        <v>156.19999999999999</v>
      </c>
      <c r="G15" s="10">
        <f>Data!G90</f>
        <v>217.49</v>
      </c>
      <c r="H15" s="10">
        <f>Data!H90</f>
        <v>152.58000000000001</v>
      </c>
      <c r="I15" s="10">
        <f>Data!I90</f>
        <v>416.69</v>
      </c>
      <c r="J15" s="10">
        <f>Data!J90</f>
        <v>615.35</v>
      </c>
      <c r="K15" s="10">
        <f>Data!K90</f>
        <v>632.75</v>
      </c>
      <c r="L15" s="10">
        <f>Data!B8</f>
        <v>940.25</v>
      </c>
      <c r="M15" s="13">
        <f>M13*M14</f>
        <v>1678.2157047610312</v>
      </c>
      <c r="N15" s="14">
        <f>N13*N14</f>
        <v>552.44012466938898</v>
      </c>
    </row>
    <row r="17" spans="1:14" s="5" customFormat="1" ht="14.25" customHeight="1" x14ac:dyDescent="0.3">
      <c r="A17" s="5" t="s">
        <v>30</v>
      </c>
    </row>
    <row r="18" spans="1:14" ht="14.25" customHeight="1" x14ac:dyDescent="0.3">
      <c r="A18" t="s">
        <v>31</v>
      </c>
      <c r="B18" s="15">
        <f>IF(Data!B30&gt;0, Data!B31/Data!B30, 0)</f>
        <v>0.22079617745923272</v>
      </c>
      <c r="C18" s="15">
        <f>IF(Data!C30&gt;0, Data!C31/Data!C30, 0)</f>
        <v>0.1982065951018834</v>
      </c>
      <c r="D18" s="15">
        <f>IF(Data!D30&gt;0, Data!D31/Data!D30, 0)</f>
        <v>0.42126747627308908</v>
      </c>
      <c r="E18" s="15">
        <f>IF(Data!E30&gt;0, Data!E31/Data!E30, 0)</f>
        <v>0.32306266019523366</v>
      </c>
      <c r="F18" s="15">
        <f>IF(Data!F30&gt;0, Data!F31/Data!F30, 0)</f>
        <v>0.11781600076163878</v>
      </c>
      <c r="G18" s="15">
        <f>IF(Data!G30&gt;0, Data!G31/Data!G30, 0)</f>
        <v>0.11383591137442929</v>
      </c>
      <c r="H18" s="15">
        <f>IF(Data!H30&gt;0, Data!H31/Data!H30, 0)</f>
        <v>0.15874378816988483</v>
      </c>
      <c r="I18" s="15">
        <f>IF(Data!I30&gt;0, Data!I31/Data!I30, 0)</f>
        <v>8.5454679524468877E-2</v>
      </c>
      <c r="J18" s="15">
        <f>IF(Data!J30&gt;0, Data!J31/Data!J30, 0)</f>
        <v>0.11978142338625861</v>
      </c>
      <c r="K18" s="15">
        <f>IF(Data!K30&gt;0, Data!K31/Data!K30, 0)</f>
        <v>0.1931942802424424</v>
      </c>
    </row>
    <row r="19" spans="1:14" ht="14.25" customHeight="1" x14ac:dyDescent="0.3">
      <c r="A19" t="s">
        <v>32</v>
      </c>
      <c r="B19" s="15">
        <f t="shared" ref="B19:L19" si="2">IF(B6&gt;0,B6/B4,0)</f>
        <v>0.52413097293586564</v>
      </c>
      <c r="C19" s="15">
        <f t="shared" si="2"/>
        <v>0.50666220823307917</v>
      </c>
      <c r="D19" s="15">
        <f t="shared" si="2"/>
        <v>0.37016718913270641</v>
      </c>
      <c r="E19" s="15">
        <f t="shared" si="2"/>
        <v>0.34430929479023537</v>
      </c>
      <c r="F19" s="15">
        <f t="shared" si="2"/>
        <v>0.55603114235520268</v>
      </c>
      <c r="G19" s="15">
        <f t="shared" si="2"/>
        <v>0.49335861611661103</v>
      </c>
      <c r="H19" s="15">
        <f t="shared" si="2"/>
        <v>0.44930776301175757</v>
      </c>
      <c r="I19" s="15">
        <f t="shared" si="2"/>
        <v>0.57536124254705168</v>
      </c>
      <c r="J19" s="15">
        <f t="shared" si="2"/>
        <v>0.54509001695537174</v>
      </c>
      <c r="K19" s="15">
        <f t="shared" si="2"/>
        <v>0.41327332788281457</v>
      </c>
      <c r="L19" s="15">
        <f t="shared" si="2"/>
        <v>0.409402816134389</v>
      </c>
    </row>
    <row r="20" spans="1:14" ht="14.25" customHeight="1" x14ac:dyDescent="0.3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</row>
    <row r="21" spans="1:14" ht="14.25" customHeight="1" x14ac:dyDescent="0.3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</row>
    <row r="22" spans="1:14" s="5" customFormat="1" ht="14.25" customHeight="1" x14ac:dyDescent="0.3">
      <c r="A22" s="7"/>
      <c r="B22" s="8"/>
      <c r="C22" s="8"/>
      <c r="D22" s="8"/>
      <c r="E22" s="8"/>
      <c r="F22" s="8"/>
      <c r="G22" s="8" t="s">
        <v>33</v>
      </c>
      <c r="H22" s="8" t="s">
        <v>34</v>
      </c>
      <c r="I22" s="8" t="s">
        <v>35</v>
      </c>
      <c r="J22" s="8" t="s">
        <v>36</v>
      </c>
      <c r="K22" s="8" t="s">
        <v>37</v>
      </c>
      <c r="L22" s="9" t="s">
        <v>38</v>
      </c>
      <c r="M22" s="9" t="s">
        <v>39</v>
      </c>
      <c r="N22" s="9" t="s">
        <v>40</v>
      </c>
    </row>
    <row r="23" spans="1:14" s="5" customFormat="1" ht="14.25" customHeight="1" x14ac:dyDescent="0.3">
      <c r="G23" s="5" t="s">
        <v>41</v>
      </c>
      <c r="H23" s="15">
        <f>IF(B4=0,"",POWER($K4/B4,1/9)-1)</f>
        <v>0.1925602961726991</v>
      </c>
      <c r="I23" s="15">
        <f>IF(D4=0,"",POWER($K4/D4,1/7)-1)</f>
        <v>0.2114403970346499</v>
      </c>
      <c r="J23" s="15">
        <f>IF(F4=0,"",POWER($K4/F4,1/5)-1)</f>
        <v>0.20939834466591356</v>
      </c>
      <c r="K23" s="15">
        <f>IF(H4=0,"",POWER($K4/H4, 1/3)-1)</f>
        <v>0.30950630096331166</v>
      </c>
      <c r="L23" s="15">
        <f>IF(ISERROR(MAX(IF(J4=0,"",(K4-J4)/J4),IF(K4=0,"",(L4-K4)/K4))),"",MAX(IF(J4=0,"",(K4-J4)/J4),IF(K4=0,"",(L4-K4)/K4)))</f>
        <v>0.12492655470205788</v>
      </c>
      <c r="M23" s="16">
        <f>MAX(K23:L23)</f>
        <v>0.30950630096331166</v>
      </c>
      <c r="N23" s="16">
        <f>MIN(H23:L23)</f>
        <v>0.12492655470205788</v>
      </c>
    </row>
    <row r="24" spans="1:14" ht="14.25" customHeight="1" x14ac:dyDescent="0.3">
      <c r="G24" t="s">
        <v>32</v>
      </c>
      <c r="H24" s="15">
        <f>IF(SUM(B4:$K$4)=0,"",SUMPRODUCT(B19:$K$19,B4:$K$4)/SUM(B4:$K$4))</f>
        <v>0.48787164698824648</v>
      </c>
      <c r="I24" s="15">
        <f>IF(SUM(E4:$K$4)=0,"",SUMPRODUCT(E19:$K$19,E4:$K$4)/SUM(E4:$K$4))</f>
        <v>0.49212507146518664</v>
      </c>
      <c r="J24" s="15">
        <f>IF(SUM(G4:$K$4)=0,"",SUMPRODUCT(G19:$K$19,G4:$K$4)/SUM(G4:$K$4))</f>
        <v>0.49563654498412341</v>
      </c>
      <c r="K24" s="15">
        <f>IF(SUM(I4:$K$4)=0, "", SUMPRODUCT(I19:$K$19,I4:$K$4)/SUM(I4:$K$4))</f>
        <v>0.50383900773932999</v>
      </c>
      <c r="L24" s="15">
        <f>L19</f>
        <v>0.409402816134389</v>
      </c>
      <c r="M24" s="16">
        <f>MAX(K24:L24)</f>
        <v>0.50383900773932999</v>
      </c>
      <c r="N24" s="16">
        <f>MIN(H24:L24)</f>
        <v>0.409402816134389</v>
      </c>
    </row>
    <row r="25" spans="1:14" ht="14.25" customHeight="1" x14ac:dyDescent="0.3">
      <c r="G25" t="s">
        <v>42</v>
      </c>
      <c r="H25" s="11">
        <f>IF(ISERROR(AVERAGEIF(B14:$L14,"&gt;0")),"",AVERAGEIF(B14:$L14,"&gt;0"))</f>
        <v>20.287702792492386</v>
      </c>
      <c r="I25" s="11">
        <f>IF(ISERROR(AVERAGEIF(E14:$L14,"&gt;0")),"",AVERAGEIF(E14:$L14,"&gt;0"))</f>
        <v>17.6011675767977</v>
      </c>
      <c r="J25" s="11">
        <f>IF(ISERROR(AVERAGEIF(G14:$L14,"&gt;0")),"",AVERAGEIF(G14:$L14,"&gt;0"))</f>
        <v>15.56735848795968</v>
      </c>
      <c r="K25" s="11">
        <f>IF(ISERROR(AVERAGEIF(I14:$L14,"&gt;0")),"",AVERAGEIF(I14:$L14,"&gt;0"))</f>
        <v>18.452704067937937</v>
      </c>
      <c r="L25" s="11">
        <f>L14</f>
        <v>28.521623859975154</v>
      </c>
      <c r="M25" s="10">
        <f>MAX(K25:L25)</f>
        <v>28.521623859975154</v>
      </c>
      <c r="N25" s="10">
        <f>MIN(H25:L25)</f>
        <v>15.56735848795968</v>
      </c>
    </row>
  </sheetData>
  <hyperlinks>
    <hyperlink ref="M1" r:id="rId1" xr:uid="{00000000-0004-0000-0100-000000000000}"/>
  </hyperlinks>
  <printOptions gridLines="1"/>
  <pageMargins left="0.7" right="0.7" top="0.75" bottom="0.75" header="0.511811023622047" footer="0.511811023622047"/>
  <pageSetup paperSize="9" orientation="landscape" horizontalDpi="300" verticalDpi="30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K22"/>
  <sheetViews>
    <sheetView zoomScale="150" zoomScaleNormal="150" workbookViewId="0">
      <pane xSplit="1" ySplit="3" topLeftCell="D4" activePane="bottomRight" state="frozen"/>
      <selection pane="topRight" activeCell="D1" sqref="D1"/>
      <selection pane="bottomLeft" activeCell="A4" sqref="A4"/>
      <selection pane="bottomRight" activeCell="K5" sqref="K5"/>
    </sheetView>
  </sheetViews>
  <sheetFormatPr defaultColWidth="8.77734375" defaultRowHeight="14.4" x14ac:dyDescent="0.3"/>
  <cols>
    <col min="1" max="1" width="20.6640625" customWidth="1"/>
    <col min="2" max="11" width="13.44140625" customWidth="1"/>
  </cols>
  <sheetData>
    <row r="1" spans="1:11" s="5" customFormat="1" ht="14.25" customHeight="1" x14ac:dyDescent="0.3">
      <c r="A1" s="5" t="str">
        <f>'Profit &amp; Loss'!A1</f>
        <v>MOTILAL OSWAL FINANCIAL SERVICES LTD</v>
      </c>
      <c r="E1" s="5" t="str">
        <f>UPDATE</f>
        <v/>
      </c>
      <c r="J1" s="5" t="s">
        <v>13</v>
      </c>
    </row>
    <row r="3" spans="1:11" s="5" customFormat="1" ht="14.25" customHeight="1" x14ac:dyDescent="0.3">
      <c r="A3" s="7" t="s">
        <v>14</v>
      </c>
      <c r="B3" s="8">
        <f>Data!B41</f>
        <v>45382</v>
      </c>
      <c r="C3" s="8">
        <f>Data!C41</f>
        <v>45473</v>
      </c>
      <c r="D3" s="8">
        <f>Data!D41</f>
        <v>45565</v>
      </c>
      <c r="E3" s="8">
        <f>Data!E41</f>
        <v>45657</v>
      </c>
      <c r="F3" s="8">
        <f>Data!F41</f>
        <v>45747</v>
      </c>
      <c r="G3" s="8">
        <f>Data!G41</f>
        <v>45838</v>
      </c>
      <c r="H3" s="8">
        <f>Data!H41</f>
        <v>45930</v>
      </c>
      <c r="I3" s="8">
        <f>Data!I41</f>
        <v>46022</v>
      </c>
      <c r="J3" s="8">
        <f>Data!J41</f>
        <v>46112</v>
      </c>
      <c r="K3" s="8">
        <f>Data!K41</f>
        <v>46203</v>
      </c>
    </row>
    <row r="4" spans="1:11" s="5" customFormat="1" ht="14.25" customHeight="1" x14ac:dyDescent="0.3">
      <c r="A4" s="5" t="s">
        <v>18</v>
      </c>
      <c r="B4" s="10">
        <f>Data!B42</f>
        <v>2153.84</v>
      </c>
      <c r="C4" s="10">
        <f>Data!C42</f>
        <v>2314.31</v>
      </c>
      <c r="D4" s="10">
        <f>Data!D42</f>
        <v>2841.06</v>
      </c>
      <c r="E4" s="10">
        <f>Data!E42</f>
        <v>1993.42</v>
      </c>
      <c r="F4" s="10">
        <f>Data!F42</f>
        <v>1190.26</v>
      </c>
      <c r="G4" s="10">
        <f>Data!G42</f>
        <v>2737.03</v>
      </c>
      <c r="H4" s="10">
        <f>Data!H42</f>
        <v>1849.11</v>
      </c>
      <c r="I4" s="10">
        <f>Data!I42</f>
        <v>2111.66</v>
      </c>
      <c r="J4" s="10">
        <f>Data!J42</f>
        <v>2676.2</v>
      </c>
      <c r="K4" s="10">
        <f>Data!K42</f>
        <v>3425.76</v>
      </c>
    </row>
    <row r="5" spans="1:11" ht="14.25" customHeight="1" x14ac:dyDescent="0.3">
      <c r="A5" t="s">
        <v>19</v>
      </c>
      <c r="B5" s="11">
        <f>Data!B43</f>
        <v>916.26</v>
      </c>
      <c r="C5" s="11">
        <f>Data!C43</f>
        <v>926.18</v>
      </c>
      <c r="D5" s="11">
        <f>Data!D43</f>
        <v>1025.07</v>
      </c>
      <c r="E5" s="11">
        <f>Data!E43</f>
        <v>931.96</v>
      </c>
      <c r="F5" s="11">
        <f>Data!F43</f>
        <v>910.5</v>
      </c>
      <c r="G5" s="11">
        <f>Data!G43</f>
        <v>1017.5</v>
      </c>
      <c r="H5" s="11">
        <f>Data!H43</f>
        <v>1009.2</v>
      </c>
      <c r="I5" s="11">
        <f>Data!I43</f>
        <v>1006.24</v>
      </c>
      <c r="J5" s="11">
        <f>Data!J43</f>
        <v>2471.33</v>
      </c>
      <c r="K5" s="11">
        <f>Data!K43</f>
        <v>1456.25</v>
      </c>
    </row>
    <row r="6" spans="1:11" s="5" customFormat="1" ht="14.25" customHeight="1" x14ac:dyDescent="0.3">
      <c r="A6" s="5" t="s">
        <v>20</v>
      </c>
      <c r="B6" s="10">
        <f>Data!B50</f>
        <v>1237.58</v>
      </c>
      <c r="C6" s="10">
        <f>Data!C50</f>
        <v>1388.13</v>
      </c>
      <c r="D6" s="10">
        <f>Data!D50</f>
        <v>1815.99</v>
      </c>
      <c r="E6" s="10">
        <f>Data!E50</f>
        <v>1061.46</v>
      </c>
      <c r="F6" s="10">
        <f>Data!F50</f>
        <v>279.76</v>
      </c>
      <c r="G6" s="10">
        <f>Data!G50</f>
        <v>1719.53</v>
      </c>
      <c r="H6" s="10">
        <f>Data!H50</f>
        <v>839.91</v>
      </c>
      <c r="I6" s="10">
        <f>Data!I50</f>
        <v>1105.42</v>
      </c>
      <c r="J6" s="10">
        <f>Data!J50</f>
        <v>204.87</v>
      </c>
      <c r="K6" s="10">
        <f>Data!K50</f>
        <v>1969.51</v>
      </c>
    </row>
    <row r="7" spans="1:11" ht="14.25" customHeight="1" x14ac:dyDescent="0.3">
      <c r="A7" t="s">
        <v>21</v>
      </c>
      <c r="B7" s="11">
        <f>Data!B44</f>
        <v>18.09</v>
      </c>
      <c r="C7" s="11">
        <f>Data!C44</f>
        <v>18.850000000000001</v>
      </c>
      <c r="D7" s="11">
        <f>Data!D44</f>
        <v>15.38</v>
      </c>
      <c r="E7" s="11">
        <f>Data!E44</f>
        <v>25.65</v>
      </c>
      <c r="F7" s="11">
        <f>Data!F44</f>
        <v>18.29</v>
      </c>
      <c r="G7" s="11">
        <f>Data!G44</f>
        <v>7.12</v>
      </c>
      <c r="H7" s="11">
        <f>Data!H44</f>
        <v>10.76</v>
      </c>
      <c r="I7" s="11">
        <f>Data!I44</f>
        <v>8.5</v>
      </c>
      <c r="J7" s="11">
        <f>Data!J44</f>
        <v>16.05</v>
      </c>
      <c r="K7" s="11">
        <f>Data!K44</f>
        <v>6.47</v>
      </c>
    </row>
    <row r="8" spans="1:11" ht="14.25" customHeight="1" x14ac:dyDescent="0.3">
      <c r="A8" t="s">
        <v>22</v>
      </c>
      <c r="B8" s="11">
        <f>Data!B45</f>
        <v>23.94</v>
      </c>
      <c r="C8" s="11">
        <f>Data!C45</f>
        <v>21.84</v>
      </c>
      <c r="D8" s="11">
        <f>Data!D45</f>
        <v>23.41</v>
      </c>
      <c r="E8" s="11">
        <f>Data!E45</f>
        <v>27.3</v>
      </c>
      <c r="F8" s="11">
        <f>Data!F45</f>
        <v>26.22</v>
      </c>
      <c r="G8" s="11">
        <f>Data!G45</f>
        <v>26.14</v>
      </c>
      <c r="H8" s="11">
        <f>Data!H45</f>
        <v>27.77</v>
      </c>
      <c r="I8" s="11">
        <f>Data!I45</f>
        <v>29.11</v>
      </c>
      <c r="J8" s="11">
        <f>Data!J45</f>
        <v>27.65</v>
      </c>
      <c r="K8" s="11">
        <f>Data!K45</f>
        <v>27.89</v>
      </c>
    </row>
    <row r="9" spans="1:11" ht="14.25" customHeight="1" x14ac:dyDescent="0.3">
      <c r="A9" t="s">
        <v>23</v>
      </c>
      <c r="B9" s="11">
        <f>Data!B46</f>
        <v>302.02</v>
      </c>
      <c r="C9" s="11">
        <f>Data!C46</f>
        <v>326.54000000000002</v>
      </c>
      <c r="D9" s="11">
        <f>Data!D46</f>
        <v>354.29</v>
      </c>
      <c r="E9" s="11">
        <f>Data!E46</f>
        <v>319.14999999999998</v>
      </c>
      <c r="F9" s="11">
        <f>Data!F46</f>
        <v>298.49</v>
      </c>
      <c r="G9" s="11">
        <f>Data!G46</f>
        <v>294.92</v>
      </c>
      <c r="H9" s="11">
        <f>Data!H46</f>
        <v>317.39</v>
      </c>
      <c r="I9" s="11">
        <f>Data!I46</f>
        <v>336.38</v>
      </c>
      <c r="J9" s="11">
        <f>Data!J46</f>
        <v>387.72</v>
      </c>
      <c r="K9" s="11">
        <f>Data!K46</f>
        <v>414.24</v>
      </c>
    </row>
    <row r="10" spans="1:11" ht="14.25" customHeight="1" x14ac:dyDescent="0.3">
      <c r="A10" t="s">
        <v>24</v>
      </c>
      <c r="B10" s="11">
        <f>Data!B47</f>
        <v>929.71</v>
      </c>
      <c r="C10" s="11">
        <f>Data!C47</f>
        <v>1058.5999999999999</v>
      </c>
      <c r="D10" s="11">
        <f>Data!D47</f>
        <v>1453.67</v>
      </c>
      <c r="E10" s="11">
        <f>Data!E47</f>
        <v>740.66</v>
      </c>
      <c r="F10" s="11">
        <f>Data!F47</f>
        <v>-26.66</v>
      </c>
      <c r="G10" s="11">
        <f>Data!G47</f>
        <v>1405.59</v>
      </c>
      <c r="H10" s="11">
        <f>Data!H47</f>
        <v>505.51</v>
      </c>
      <c r="I10" s="11">
        <f>Data!I47</f>
        <v>748.43</v>
      </c>
      <c r="J10" s="11">
        <f>Data!J47</f>
        <v>-194.45</v>
      </c>
      <c r="K10" s="11">
        <f>Data!K47</f>
        <v>1533.85</v>
      </c>
    </row>
    <row r="11" spans="1:11" ht="14.25" customHeight="1" x14ac:dyDescent="0.3">
      <c r="A11" t="s">
        <v>25</v>
      </c>
      <c r="B11" s="11">
        <f>Data!B48</f>
        <v>205.11</v>
      </c>
      <c r="C11" s="11">
        <f>Data!C48</f>
        <v>175.02</v>
      </c>
      <c r="D11" s="11">
        <f>Data!D48</f>
        <v>331.87</v>
      </c>
      <c r="E11" s="11">
        <f>Data!E48</f>
        <v>174.66</v>
      </c>
      <c r="F11" s="11">
        <f>Data!F48</f>
        <v>36.520000000000003</v>
      </c>
      <c r="G11" s="11">
        <f>Data!G48</f>
        <v>249.75</v>
      </c>
      <c r="H11" s="11">
        <f>Data!H48</f>
        <v>142.94999999999999</v>
      </c>
      <c r="I11" s="11">
        <f>Data!I48</f>
        <v>182.26</v>
      </c>
      <c r="J11" s="11">
        <f>Data!J48</f>
        <v>24.66</v>
      </c>
      <c r="K11" s="11">
        <f>Data!K48</f>
        <v>260.14</v>
      </c>
    </row>
    <row r="12" spans="1:11" s="5" customFormat="1" ht="14.25" customHeight="1" x14ac:dyDescent="0.3">
      <c r="A12" s="5" t="s">
        <v>26</v>
      </c>
      <c r="B12" s="10">
        <f>Data!B49</f>
        <v>723.05</v>
      </c>
      <c r="C12" s="10">
        <f>Data!C49</f>
        <v>881.89</v>
      </c>
      <c r="D12" s="10">
        <f>Data!D49</f>
        <v>1120.08</v>
      </c>
      <c r="E12" s="10">
        <f>Data!E49</f>
        <v>564.52</v>
      </c>
      <c r="F12" s="10">
        <f>Data!F49</f>
        <v>-64.77</v>
      </c>
      <c r="G12" s="10">
        <f>Data!G49</f>
        <v>1162.06</v>
      </c>
      <c r="H12" s="10">
        <f>Data!H49</f>
        <v>362.42</v>
      </c>
      <c r="I12" s="10">
        <f>Data!I49</f>
        <v>565.97</v>
      </c>
      <c r="J12" s="10">
        <f>Data!J49</f>
        <v>-221.28</v>
      </c>
      <c r="K12" s="10">
        <f>Data!K49</f>
        <v>1273.1099999999999</v>
      </c>
    </row>
    <row r="14" spans="1:11" s="5" customFormat="1" ht="14.25" customHeight="1" x14ac:dyDescent="0.3">
      <c r="A14" s="5" t="s">
        <v>32</v>
      </c>
      <c r="B14" s="17">
        <f t="shared" ref="B14:K14" si="0">IF(B4&gt;0,B6/B4,"")</f>
        <v>0.57459235597815983</v>
      </c>
      <c r="C14" s="17">
        <f t="shared" si="0"/>
        <v>0.59980296503061392</v>
      </c>
      <c r="D14" s="17">
        <f t="shared" si="0"/>
        <v>0.63919452598677962</v>
      </c>
      <c r="E14" s="17">
        <f t="shared" si="0"/>
        <v>0.53248186533695863</v>
      </c>
      <c r="F14" s="17">
        <f t="shared" si="0"/>
        <v>0.23504108346075647</v>
      </c>
      <c r="G14" s="17">
        <f t="shared" si="0"/>
        <v>0.62824667614165719</v>
      </c>
      <c r="H14" s="17">
        <f t="shared" si="0"/>
        <v>0.45422392394178823</v>
      </c>
      <c r="I14" s="17">
        <f t="shared" si="0"/>
        <v>0.52348389418751129</v>
      </c>
      <c r="J14" s="17">
        <f t="shared" si="0"/>
        <v>7.6552574545998064E-2</v>
      </c>
      <c r="K14" s="17">
        <f t="shared" si="0"/>
        <v>0.5749118443790574</v>
      </c>
    </row>
    <row r="22" s="18" customFormat="1" ht="14.25" customHeight="1" x14ac:dyDescent="0.3"/>
  </sheetData>
  <hyperlinks>
    <hyperlink ref="J1" r:id="rId1" xr:uid="{00000000-0004-0000-0200-000000000000}"/>
  </hyperlinks>
  <printOptions gridLines="1"/>
  <pageMargins left="0.7" right="0.7" top="0.75" bottom="0.75" header="0.511811023622047" footer="0.511811023622047"/>
  <pageSetup paperSize="9" orientation="landscape" horizontalDpi="300" verticalDpi="30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K24"/>
  <sheetViews>
    <sheetView zoomScale="125" zoomScaleNormal="125" workbookViewId="0">
      <pane xSplit="1" ySplit="3" topLeftCell="E4" activePane="bottomRight" state="frozen"/>
      <selection pane="topRight" activeCell="E1" sqref="E1"/>
      <selection pane="bottomLeft" activeCell="A4" sqref="A4"/>
      <selection pane="bottomRight" activeCell="K24" sqref="K24"/>
    </sheetView>
  </sheetViews>
  <sheetFormatPr defaultColWidth="8.77734375" defaultRowHeight="14.4" x14ac:dyDescent="0.3"/>
  <cols>
    <col min="1" max="1" width="22.77734375" customWidth="1"/>
    <col min="2" max="2" width="13.44140625" customWidth="1"/>
    <col min="3" max="11" width="15.44140625" customWidth="1"/>
  </cols>
  <sheetData>
    <row r="1" spans="1:11" s="5" customFormat="1" ht="14.25" customHeight="1" x14ac:dyDescent="0.3">
      <c r="A1" s="5" t="str">
        <f>'Profit &amp; Loss'!A1</f>
        <v>MOTILAL OSWAL FINANCIAL SERVICES LTD</v>
      </c>
      <c r="E1" s="5" t="str">
        <f>UPDATE</f>
        <v/>
      </c>
      <c r="J1" s="5" t="s">
        <v>13</v>
      </c>
    </row>
    <row r="2" spans="1:11" ht="14.25" customHeight="1" x14ac:dyDescent="0.3">
      <c r="G2" s="5"/>
      <c r="H2" s="5"/>
    </row>
    <row r="3" spans="1:11" ht="14.25" customHeight="1" x14ac:dyDescent="0.3">
      <c r="A3" s="7" t="s">
        <v>14</v>
      </c>
      <c r="B3" s="8">
        <f>Data!B56</f>
        <v>42825</v>
      </c>
      <c r="C3" s="8">
        <f>Data!C56</f>
        <v>43190</v>
      </c>
      <c r="D3" s="8">
        <f>Data!D56</f>
        <v>43555</v>
      </c>
      <c r="E3" s="8">
        <f>Data!E56</f>
        <v>43921</v>
      </c>
      <c r="F3" s="8">
        <f>Data!F56</f>
        <v>44286</v>
      </c>
      <c r="G3" s="8">
        <f>Data!G56</f>
        <v>44651</v>
      </c>
      <c r="H3" s="8">
        <f>Data!H56</f>
        <v>45016</v>
      </c>
      <c r="I3" s="8">
        <f>Data!I56</f>
        <v>45382</v>
      </c>
      <c r="J3" s="8">
        <f>Data!J56</f>
        <v>45747</v>
      </c>
      <c r="K3" s="8">
        <f>Data!K56</f>
        <v>46112</v>
      </c>
    </row>
    <row r="4" spans="1:11" ht="14.25" customHeight="1" x14ac:dyDescent="0.3">
      <c r="A4" t="s">
        <v>43</v>
      </c>
      <c r="B4" s="19">
        <f>Data!B57</f>
        <v>14.45</v>
      </c>
      <c r="C4" s="19">
        <f>Data!C57</f>
        <v>14.51</v>
      </c>
      <c r="D4" s="19">
        <f>Data!D57</f>
        <v>14.57</v>
      </c>
      <c r="E4" s="19">
        <f>Data!E57</f>
        <v>14.81</v>
      </c>
      <c r="F4" s="19">
        <f>Data!F57</f>
        <v>14.85</v>
      </c>
      <c r="G4" s="19">
        <f>Data!G57</f>
        <v>14.91</v>
      </c>
      <c r="H4" s="19">
        <f>Data!H57</f>
        <v>14.79</v>
      </c>
      <c r="I4" s="19">
        <f>Data!I57</f>
        <v>14.9</v>
      </c>
      <c r="J4" s="19">
        <f>Data!J57</f>
        <v>59.93</v>
      </c>
      <c r="K4" s="19">
        <f>Data!K57</f>
        <v>60.19</v>
      </c>
    </row>
    <row r="5" spans="1:11" ht="14.25" customHeight="1" x14ac:dyDescent="0.3">
      <c r="A5" t="s">
        <v>44</v>
      </c>
      <c r="B5" s="19">
        <f>Data!B58</f>
        <v>1771.58</v>
      </c>
      <c r="C5" s="19">
        <f>Data!C58</f>
        <v>2871.39</v>
      </c>
      <c r="D5" s="19">
        <f>Data!D58</f>
        <v>3038.87</v>
      </c>
      <c r="E5" s="19">
        <f>Data!E58</f>
        <v>3071.49</v>
      </c>
      <c r="F5" s="19">
        <f>Data!F58</f>
        <v>4446.57</v>
      </c>
      <c r="G5" s="19">
        <f>Data!G58</f>
        <v>5659.46</v>
      </c>
      <c r="H5" s="19">
        <f>Data!H58</f>
        <v>6237.45</v>
      </c>
      <c r="I5" s="19">
        <f>Data!I58</f>
        <v>8716.8700000000008</v>
      </c>
      <c r="J5" s="19">
        <f>Data!J58</f>
        <v>11019.4</v>
      </c>
      <c r="K5" s="19">
        <f>Data!K58</f>
        <v>12827.93</v>
      </c>
    </row>
    <row r="6" spans="1:11" ht="14.25" customHeight="1" x14ac:dyDescent="0.3">
      <c r="A6" t="s">
        <v>45</v>
      </c>
      <c r="B6" s="19">
        <f>Data!B59</f>
        <v>5066.83</v>
      </c>
      <c r="C6" s="19">
        <f>Data!C59</f>
        <v>5322.94</v>
      </c>
      <c r="D6" s="19">
        <f>Data!D59</f>
        <v>5157.7700000000004</v>
      </c>
      <c r="E6" s="19">
        <f>Data!E59</f>
        <v>4626.93</v>
      </c>
      <c r="F6" s="19">
        <f>Data!F59</f>
        <v>5693.29</v>
      </c>
      <c r="G6" s="19">
        <f>Data!G59</f>
        <v>6152.49</v>
      </c>
      <c r="H6" s="19">
        <f>Data!H59</f>
        <v>10277.620000000001</v>
      </c>
      <c r="I6" s="19">
        <f>Data!I59</f>
        <v>13787.48</v>
      </c>
      <c r="J6" s="19">
        <f>Data!J59</f>
        <v>14731.61</v>
      </c>
      <c r="K6" s="19">
        <f>Data!K59</f>
        <v>21255.11</v>
      </c>
    </row>
    <row r="7" spans="1:11" ht="14.25" customHeight="1" x14ac:dyDescent="0.3">
      <c r="A7" t="s">
        <v>46</v>
      </c>
      <c r="B7" s="19">
        <f>Data!B60</f>
        <v>1586.04</v>
      </c>
      <c r="C7" s="19">
        <f>Data!C60</f>
        <v>2202.41</v>
      </c>
      <c r="D7" s="19">
        <f>Data!D60</f>
        <v>2149.06</v>
      </c>
      <c r="E7" s="19">
        <f>Data!E60</f>
        <v>2370.38</v>
      </c>
      <c r="F7" s="19">
        <f>Data!F60</f>
        <v>3886.7</v>
      </c>
      <c r="G7" s="19">
        <f>Data!G60</f>
        <v>5032.95</v>
      </c>
      <c r="H7" s="19">
        <f>Data!H60</f>
        <v>6419.41</v>
      </c>
      <c r="I7" s="19">
        <f>Data!I60</f>
        <v>9251.7000000000007</v>
      </c>
      <c r="J7" s="19">
        <f>Data!J60</f>
        <v>8105.51</v>
      </c>
      <c r="K7" s="19">
        <f>Data!K60</f>
        <v>9257.56</v>
      </c>
    </row>
    <row r="8" spans="1:11" s="5" customFormat="1" ht="14.25" customHeight="1" x14ac:dyDescent="0.3">
      <c r="A8" s="5" t="s">
        <v>47</v>
      </c>
      <c r="B8" s="20">
        <f>Data!B61</f>
        <v>8438.9</v>
      </c>
      <c r="C8" s="20">
        <f>Data!C61</f>
        <v>10411.25</v>
      </c>
      <c r="D8" s="20">
        <f>Data!D61</f>
        <v>10360.27</v>
      </c>
      <c r="E8" s="20">
        <f>Data!E61</f>
        <v>10083.61</v>
      </c>
      <c r="F8" s="20">
        <f>Data!F61</f>
        <v>14041.41</v>
      </c>
      <c r="G8" s="20">
        <f>Data!G61</f>
        <v>16859.810000000001</v>
      </c>
      <c r="H8" s="20">
        <f>Data!H61</f>
        <v>22949.27</v>
      </c>
      <c r="I8" s="20">
        <f>Data!I61</f>
        <v>31770.95</v>
      </c>
      <c r="J8" s="20">
        <f>Data!J61</f>
        <v>33916.449999999997</v>
      </c>
      <c r="K8" s="20">
        <f>Data!K61</f>
        <v>43400.79</v>
      </c>
    </row>
    <row r="9" spans="1:11" s="5" customFormat="1" ht="14.25" customHeight="1" x14ac:dyDescent="0.3">
      <c r="B9" s="20"/>
      <c r="C9" s="20"/>
      <c r="D9" s="20"/>
      <c r="E9" s="20"/>
      <c r="F9" s="20"/>
      <c r="G9" s="20"/>
      <c r="H9" s="20"/>
      <c r="I9" s="20"/>
      <c r="J9" s="20"/>
      <c r="K9" s="20"/>
    </row>
    <row r="10" spans="1:11" ht="14.25" customHeight="1" x14ac:dyDescent="0.3">
      <c r="A10" t="s">
        <v>48</v>
      </c>
      <c r="B10" s="19">
        <f>Data!B62</f>
        <v>293.67</v>
      </c>
      <c r="C10" s="19">
        <f>Data!C62</f>
        <v>299.57</v>
      </c>
      <c r="D10" s="19">
        <f>Data!D62</f>
        <v>302.10000000000002</v>
      </c>
      <c r="E10" s="19">
        <f>Data!E62</f>
        <v>333.35</v>
      </c>
      <c r="F10" s="19">
        <f>Data!F62</f>
        <v>350.33</v>
      </c>
      <c r="G10" s="19">
        <f>Data!G62</f>
        <v>356.66</v>
      </c>
      <c r="H10" s="19">
        <f>Data!H62</f>
        <v>465.81</v>
      </c>
      <c r="I10" s="19">
        <f>Data!I62</f>
        <v>603.25</v>
      </c>
      <c r="J10" s="19">
        <f>Data!J62</f>
        <v>753.87</v>
      </c>
      <c r="K10" s="19">
        <f>Data!K62</f>
        <v>768.67</v>
      </c>
    </row>
    <row r="11" spans="1:11" ht="14.25" customHeight="1" x14ac:dyDescent="0.3">
      <c r="A11" t="s">
        <v>49</v>
      </c>
      <c r="B11" s="19">
        <f>Data!B63</f>
        <v>0</v>
      </c>
      <c r="C11" s="19">
        <f>Data!C63</f>
        <v>0.11</v>
      </c>
      <c r="D11" s="19">
        <f>Data!D63</f>
        <v>0.11</v>
      </c>
      <c r="E11" s="19">
        <f>Data!E63</f>
        <v>0</v>
      </c>
      <c r="F11" s="19">
        <f>Data!F63</f>
        <v>0</v>
      </c>
      <c r="G11" s="19">
        <f>Data!G63</f>
        <v>0</v>
      </c>
      <c r="H11" s="19">
        <f>Data!H63</f>
        <v>0</v>
      </c>
      <c r="I11" s="19">
        <f>Data!I63</f>
        <v>0</v>
      </c>
      <c r="J11" s="19">
        <f>Data!J63</f>
        <v>114.63</v>
      </c>
      <c r="K11" s="19">
        <f>Data!K63</f>
        <v>115.14</v>
      </c>
    </row>
    <row r="12" spans="1:11" ht="14.25" customHeight="1" x14ac:dyDescent="0.3">
      <c r="A12" t="s">
        <v>50</v>
      </c>
      <c r="B12" s="19">
        <f>Data!B64</f>
        <v>1766.9</v>
      </c>
      <c r="C12" s="19">
        <f>Data!C64</f>
        <v>2807.18</v>
      </c>
      <c r="D12" s="19">
        <f>Data!D64</f>
        <v>2685.91</v>
      </c>
      <c r="E12" s="19">
        <f>Data!E64</f>
        <v>3088.5</v>
      </c>
      <c r="F12" s="19">
        <f>Data!F64</f>
        <v>3922.35</v>
      </c>
      <c r="G12" s="19">
        <f>Data!G64</f>
        <v>4684.91</v>
      </c>
      <c r="H12" s="19">
        <f>Data!H64</f>
        <v>4786.96</v>
      </c>
      <c r="I12" s="19">
        <f>Data!I64</f>
        <v>6500.65</v>
      </c>
      <c r="J12" s="19">
        <f>Data!J64</f>
        <v>8850.64</v>
      </c>
      <c r="K12" s="19">
        <f>Data!K64</f>
        <v>10299.18</v>
      </c>
    </row>
    <row r="13" spans="1:11" ht="14.25" customHeight="1" x14ac:dyDescent="0.3">
      <c r="A13" t="s">
        <v>51</v>
      </c>
      <c r="B13" s="19">
        <f>Data!B65</f>
        <v>6378.33</v>
      </c>
      <c r="C13" s="19">
        <f>Data!C65</f>
        <v>7304.39</v>
      </c>
      <c r="D13" s="19">
        <f>Data!D65</f>
        <v>7372.15</v>
      </c>
      <c r="E13" s="19">
        <f>Data!E65</f>
        <v>6661.76</v>
      </c>
      <c r="F13" s="19">
        <f>Data!F65</f>
        <v>9768.73</v>
      </c>
      <c r="G13" s="19">
        <f>Data!G65</f>
        <v>11818.24</v>
      </c>
      <c r="H13" s="19">
        <f>Data!H65</f>
        <v>17696.5</v>
      </c>
      <c r="I13" s="19">
        <f>Data!I65</f>
        <v>24667.05</v>
      </c>
      <c r="J13" s="19">
        <f>Data!J65</f>
        <v>24197.31</v>
      </c>
      <c r="K13" s="19">
        <f>Data!K65</f>
        <v>32217.8</v>
      </c>
    </row>
    <row r="14" spans="1:11" s="5" customFormat="1" ht="14.25" customHeight="1" x14ac:dyDescent="0.3">
      <c r="A14" s="5" t="s">
        <v>47</v>
      </c>
      <c r="B14" s="19">
        <f>Data!B66</f>
        <v>8438.9</v>
      </c>
      <c r="C14" s="19">
        <f>Data!C66</f>
        <v>10411.25</v>
      </c>
      <c r="D14" s="19">
        <f>Data!D66</f>
        <v>10360.27</v>
      </c>
      <c r="E14" s="19">
        <f>Data!E66</f>
        <v>10083.61</v>
      </c>
      <c r="F14" s="19">
        <f>Data!F66</f>
        <v>14041.41</v>
      </c>
      <c r="G14" s="19">
        <f>Data!G66</f>
        <v>16859.810000000001</v>
      </c>
      <c r="H14" s="19">
        <f>Data!H66</f>
        <v>22949.27</v>
      </c>
      <c r="I14" s="19">
        <f>Data!I66</f>
        <v>31770.95</v>
      </c>
      <c r="J14" s="19">
        <f>Data!J66</f>
        <v>33916.449999999997</v>
      </c>
      <c r="K14" s="19">
        <f>Data!K66</f>
        <v>43400.79</v>
      </c>
    </row>
    <row r="15" spans="1:11" ht="14.25" customHeight="1" x14ac:dyDescent="0.3">
      <c r="B15" s="11"/>
      <c r="C15" s="11"/>
      <c r="D15" s="11"/>
      <c r="E15" s="11"/>
      <c r="F15" s="11"/>
      <c r="G15" s="11"/>
      <c r="H15" s="11"/>
      <c r="I15" s="11"/>
      <c r="J15" s="11"/>
      <c r="K15" s="11"/>
    </row>
    <row r="16" spans="1:11" ht="14.25" customHeight="1" x14ac:dyDescent="0.3">
      <c r="A16" t="s">
        <v>52</v>
      </c>
      <c r="B16" s="11">
        <f t="shared" ref="B16:K16" si="0">B13-B7</f>
        <v>4792.29</v>
      </c>
      <c r="C16" s="11">
        <f t="shared" si="0"/>
        <v>5101.9800000000005</v>
      </c>
      <c r="D16" s="11">
        <f t="shared" si="0"/>
        <v>5223.09</v>
      </c>
      <c r="E16" s="11">
        <f t="shared" si="0"/>
        <v>4291.38</v>
      </c>
      <c r="F16" s="11">
        <f t="shared" si="0"/>
        <v>5882.03</v>
      </c>
      <c r="G16" s="11">
        <f t="shared" si="0"/>
        <v>6785.29</v>
      </c>
      <c r="H16" s="11">
        <f t="shared" si="0"/>
        <v>11277.09</v>
      </c>
      <c r="I16" s="11">
        <f t="shared" si="0"/>
        <v>15415.349999999999</v>
      </c>
      <c r="J16" s="11">
        <f t="shared" si="0"/>
        <v>16091.800000000001</v>
      </c>
      <c r="K16" s="11">
        <f t="shared" si="0"/>
        <v>22960.239999999998</v>
      </c>
    </row>
    <row r="17" spans="1:11" ht="14.25" customHeight="1" x14ac:dyDescent="0.3">
      <c r="A17" t="s">
        <v>53</v>
      </c>
      <c r="B17" s="11">
        <f>Data!B67</f>
        <v>1260.18</v>
      </c>
      <c r="C17" s="11">
        <f>Data!C67</f>
        <v>1043.3900000000001</v>
      </c>
      <c r="D17" s="11">
        <f>Data!D67</f>
        <v>1517.33</v>
      </c>
      <c r="E17" s="11">
        <f>Data!E67</f>
        <v>745.53</v>
      </c>
      <c r="F17" s="11">
        <f>Data!F67</f>
        <v>911.23</v>
      </c>
      <c r="G17" s="11">
        <f>Data!G67</f>
        <v>1003.09</v>
      </c>
      <c r="H17" s="11">
        <f>Data!H67</f>
        <v>1029.0899999999999</v>
      </c>
      <c r="I17" s="11">
        <f>Data!I67</f>
        <v>1918.12</v>
      </c>
      <c r="J17" s="11">
        <f>Data!J67</f>
        <v>2403.6</v>
      </c>
      <c r="K17" s="11">
        <f>Data!K67</f>
        <v>4058.11</v>
      </c>
    </row>
    <row r="18" spans="1:11" ht="14.25" customHeight="1" x14ac:dyDescent="0.3">
      <c r="A18" t="s">
        <v>54</v>
      </c>
      <c r="B18" s="11">
        <f>Data!B68</f>
        <v>0.18</v>
      </c>
      <c r="C18" s="11">
        <f>Data!C68</f>
        <v>0</v>
      </c>
      <c r="D18" s="11">
        <f>Data!D68</f>
        <v>0</v>
      </c>
      <c r="E18" s="11">
        <f>Data!E68</f>
        <v>0</v>
      </c>
      <c r="F18" s="11">
        <f>Data!F68</f>
        <v>0</v>
      </c>
      <c r="G18" s="11">
        <f>Data!G68</f>
        <v>0</v>
      </c>
      <c r="H18" s="11">
        <f>Data!H68</f>
        <v>0</v>
      </c>
      <c r="I18" s="11">
        <f>Data!I68</f>
        <v>0</v>
      </c>
      <c r="J18" s="11">
        <f>Data!J68</f>
        <v>0</v>
      </c>
      <c r="K18" s="11">
        <f>Data!K68</f>
        <v>0</v>
      </c>
    </row>
    <row r="20" spans="1:11" ht="14.25" customHeight="1" x14ac:dyDescent="0.3">
      <c r="A20" t="s">
        <v>55</v>
      </c>
      <c r="B20" s="11">
        <f>IF('Profit &amp; Loss'!B4&gt;0,'Balance Sheet'!B17/('Profit &amp; Loss'!B4/365),0)</f>
        <v>239.21163487341644</v>
      </c>
      <c r="C20" s="11">
        <f>IF('Profit &amp; Loss'!C4&gt;0,'Balance Sheet'!C17/('Profit &amp; Loss'!C4/365),0)</f>
        <v>138.41886135483074</v>
      </c>
      <c r="D20" s="11">
        <f>IF('Profit &amp; Loss'!D4&gt;0,'Balance Sheet'!D17/('Profit &amp; Loss'!D4/365),0)</f>
        <v>226.05858558646813</v>
      </c>
      <c r="E20" s="11">
        <f>IF('Profit &amp; Loss'!E4&gt;0,'Balance Sheet'!E17/('Profit &amp; Loss'!E4/365),0)</f>
        <v>115.40809964883708</v>
      </c>
      <c r="F20" s="11">
        <f>IF('Profit &amp; Loss'!F4&gt;0,'Balance Sheet'!F17/('Profit &amp; Loss'!F4/365),0)</f>
        <v>91.727901531469186</v>
      </c>
      <c r="G20" s="11">
        <f>IF('Profit &amp; Loss'!G4&gt;0,'Balance Sheet'!G17/('Profit &amp; Loss'!G4/365),0)</f>
        <v>85.184641872477059</v>
      </c>
      <c r="H20" s="11">
        <f>IF('Profit &amp; Loss'!H4&gt;0,'Balance Sheet'!H17/('Profit &amp; Loss'!H4/365),0)</f>
        <v>89.908910516640489</v>
      </c>
      <c r="I20" s="11">
        <f>IF('Profit &amp; Loss'!I4&gt;0,'Balance Sheet'!I17/('Profit &amp; Loss'!I4/365),0)</f>
        <v>99.035102237122217</v>
      </c>
      <c r="J20" s="11">
        <f>IF('Profit &amp; Loss'!J4&gt;0,'Balance Sheet'!J17/('Profit &amp; Loss'!J4/365),0)</f>
        <v>105.19932754084756</v>
      </c>
      <c r="K20" s="11">
        <f>IF('Profit &amp; Loss'!K4&gt;0,'Balance Sheet'!K17/('Profit &amp; Loss'!K4/365),0)</f>
        <v>157.88846938133767</v>
      </c>
    </row>
    <row r="21" spans="1:11" ht="14.25" customHeight="1" x14ac:dyDescent="0.3">
      <c r="A21" t="s">
        <v>56</v>
      </c>
      <c r="B21" s="11">
        <f>IF('Balance Sheet'!B18&gt;0,'Profit &amp; Loss'!B4/'Balance Sheet'!B18,0)</f>
        <v>10682.444444444445</v>
      </c>
      <c r="C21" s="11">
        <f>IF('Balance Sheet'!C18&gt;0,'Profit &amp; Loss'!C4/'Balance Sheet'!C18,0)</f>
        <v>0</v>
      </c>
      <c r="D21" s="11">
        <f>IF('Balance Sheet'!D18&gt;0,'Profit &amp; Loss'!D4/'Balance Sheet'!D18,0)</f>
        <v>0</v>
      </c>
      <c r="E21" s="11">
        <f>IF('Balance Sheet'!E18&gt;0,'Profit &amp; Loss'!E4/'Balance Sheet'!E18,0)</f>
        <v>0</v>
      </c>
      <c r="F21" s="11">
        <f>IF('Balance Sheet'!F18&gt;0,'Profit &amp; Loss'!F4/'Balance Sheet'!F18,0)</f>
        <v>0</v>
      </c>
      <c r="G21" s="11">
        <f>IF('Balance Sheet'!G18&gt;0,'Profit &amp; Loss'!G4/'Balance Sheet'!G18,0)</f>
        <v>0</v>
      </c>
      <c r="H21" s="11">
        <f>IF('Balance Sheet'!H18&gt;0,'Profit &amp; Loss'!H4/'Balance Sheet'!H18,0)</f>
        <v>0</v>
      </c>
      <c r="I21" s="11">
        <f>IF('Balance Sheet'!I18&gt;0,'Profit &amp; Loss'!I4/'Balance Sheet'!I18,0)</f>
        <v>0</v>
      </c>
      <c r="J21" s="11">
        <f>IF('Balance Sheet'!J18&gt;0,'Profit &amp; Loss'!J4/'Balance Sheet'!J18,0)</f>
        <v>0</v>
      </c>
      <c r="K21" s="11">
        <f>IF('Balance Sheet'!K18&gt;0,'Profit &amp; Loss'!K4/'Balance Sheet'!K18,0)</f>
        <v>0</v>
      </c>
    </row>
    <row r="23" spans="1:11" s="5" customFormat="1" ht="14.25" customHeight="1" x14ac:dyDescent="0.3">
      <c r="A23" s="5" t="s">
        <v>8</v>
      </c>
      <c r="B23" s="17">
        <f>IF(SUM('Balance Sheet'!B4:B5)&gt;0,'Profit &amp; Loss'!B12/SUM('Balance Sheet'!B4:B5),"")</f>
        <v>0.20154756639026222</v>
      </c>
      <c r="C23" s="17">
        <f>IF(SUM('Balance Sheet'!C4:C5)&gt;0,'Profit &amp; Loss'!C12/SUM('Balance Sheet'!C4:C5),"")</f>
        <v>0.21562770712775908</v>
      </c>
      <c r="D23" s="17">
        <f>IF(SUM('Balance Sheet'!D4:D5)&gt;0,'Profit &amp; Loss'!D12/SUM('Balance Sheet'!D4:D5),"")</f>
        <v>9.627502095996647E-2</v>
      </c>
      <c r="E23" s="17">
        <f>IF(SUM('Balance Sheet'!E4:E5)&gt;0,'Profit &amp; Loss'!E12/SUM('Balance Sheet'!E4:E5),"")</f>
        <v>5.9414185270388498E-2</v>
      </c>
      <c r="F23" s="17">
        <f>IF(SUM('Balance Sheet'!F4:F5)&gt;0,'Profit &amp; Loss'!F12/SUM('Balance Sheet'!F4:F5),"")</f>
        <v>0.28251991518395492</v>
      </c>
      <c r="G23" s="17">
        <f>IF(SUM('Balance Sheet'!G4:G5)&gt;0,'Profit &amp; Loss'!G12/SUM('Balance Sheet'!G4:G5),"")</f>
        <v>0.23082386238472288</v>
      </c>
      <c r="H23" s="17">
        <f>IF(SUM('Balance Sheet'!H4:H5)&gt;0,'Profit &amp; Loss'!H12/SUM('Balance Sheet'!H4:H5),"")</f>
        <v>0.14901699230995613</v>
      </c>
      <c r="I23" s="17">
        <f>IF(SUM('Balance Sheet'!I4:I5)&gt;0,'Profit &amp; Loss'!I12/SUM('Balance Sheet'!I4:I5),"")</f>
        <v>0.27956073052771657</v>
      </c>
      <c r="J23" s="17">
        <f>IF(SUM('Balance Sheet'!J4:J5)&gt;0,'Profit &amp; Loss'!J12/SUM('Balance Sheet'!J4:J5),"")</f>
        <v>0.22579343696775886</v>
      </c>
      <c r="K23" s="17">
        <f>IF(SUM('Balance Sheet'!K4:K5)&gt;0,'Profit &amp; Loss'!K12/SUM('Balance Sheet'!K4:K5),"")</f>
        <v>0.14504132487903587</v>
      </c>
    </row>
    <row r="24" spans="1:11" s="5" customFormat="1" ht="14.25" customHeight="1" x14ac:dyDescent="0.3">
      <c r="A24" s="5" t="s">
        <v>57</v>
      </c>
      <c r="B24" s="17"/>
      <c r="C24" s="17">
        <f>IF((B4+B5+B6+C4+C5+C6)&gt;0,('Profit &amp; Loss'!C10+'Profit &amp; Loss'!C9)*2/(B4+B5+B6+C4+C5+C6),"")</f>
        <v>0.18025986442433456</v>
      </c>
      <c r="D24" s="17">
        <f>IF((C4+C5+C6+D4+D5+D6)&gt;0,('Profit &amp; Loss'!D10+'Profit &amp; Loss'!D9)*2/(C4+C5+C6+D4+D5+D6),"")</f>
        <v>0.10898261576548184</v>
      </c>
      <c r="E24" s="17">
        <f>IF((D4+D5+D6+E4+E5+E6)&gt;0,('Profit &amp; Loss'!E10+'Profit &amp; Loss'!E9)*2/(D4+D5+D6+E4+E5+E6),"")</f>
        <v>9.7919926854570724E-2</v>
      </c>
      <c r="F24" s="17">
        <f>IF((E4+E5+E6+F4+F5+F6)&gt;0,('Profit &amp; Loss'!F10+'Profit &amp; Loss'!F9)*2/(E4+E5+E6+F4+F5+F6),"")</f>
        <v>0.21140657512841438</v>
      </c>
      <c r="G24" s="17">
        <f>IF((F4+F5+F6+G4+G5+G6)&gt;0,('Profit &amp; Loss'!G10+'Profit &amp; Loss'!G9)*2/(F4+F5+F6+G4+G5+G6),"")</f>
        <v>0.19052324288028563</v>
      </c>
      <c r="H24" s="17">
        <f>IF((G4+G5+G6+H4+H5+H6)&gt;0,('Profit &amp; Loss'!H10+'Profit &amp; Loss'!H9)*2/(G4+G5+G6+H4+H5+H6),"")</f>
        <v>0.12963981729903881</v>
      </c>
      <c r="I24" s="17">
        <f>IF((H4+H5+H6+I4+I5+I6)&gt;0,('Profit &amp; Loss'!I10+'Profit &amp; Loss'!I9)*2/(H4+H5+H6+I4+I5+I6),"")</f>
        <v>0.20722725818847088</v>
      </c>
      <c r="J24" s="17">
        <f>IF((I4+I5+I6+J4+J5+J6)&gt;0,('Profit &amp; Loss'!J10+'Profit &amp; Loss'!J9)*2/(I4+I5+I6+J4+J5+J6),"")</f>
        <v>0.18724197028813666</v>
      </c>
      <c r="K24" s="17">
        <f>IF((J4+J5+J6+K4+K5+K6)&gt;0,('Profit &amp; Loss'!K10+'Profit &amp; Loss'!K9)*2/(J4+J5+J6+K4+K5+K6),"")</f>
        <v>0.1270463755898881</v>
      </c>
    </row>
  </sheetData>
  <hyperlinks>
    <hyperlink ref="J1" r:id="rId1" xr:uid="{00000000-0004-0000-0300-000000000000}"/>
  </hyperlinks>
  <printOptions gridLines="1"/>
  <pageMargins left="0.7" right="0.7" top="0.75" bottom="0.75" header="0.511811023622047" footer="0.511811023622047"/>
  <pageSetup paperSize="9"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K8"/>
  <sheetViews>
    <sheetView zoomScale="150" zoomScaleNormal="150" workbookViewId="0">
      <pane xSplit="1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8.77734375" defaultRowHeight="14.4" x14ac:dyDescent="0.3"/>
  <cols>
    <col min="1" max="1" width="26.77734375" customWidth="1"/>
    <col min="2" max="11" width="13.44140625" customWidth="1"/>
  </cols>
  <sheetData>
    <row r="1" spans="1:11" s="5" customFormat="1" ht="14.25" customHeight="1" x14ac:dyDescent="0.3">
      <c r="A1" s="5" t="str">
        <f>'Balance Sheet'!A1</f>
        <v>MOTILAL OSWAL FINANCIAL SERVICES LTD</v>
      </c>
      <c r="E1" s="5" t="str">
        <f>UPDATE</f>
        <v/>
      </c>
      <c r="J1" s="5" t="s">
        <v>13</v>
      </c>
    </row>
    <row r="3" spans="1:11" s="5" customFormat="1" ht="14.25" customHeight="1" x14ac:dyDescent="0.3">
      <c r="A3" s="7" t="s">
        <v>14</v>
      </c>
      <c r="B3" s="8">
        <f>Data!B81</f>
        <v>42825</v>
      </c>
      <c r="C3" s="8">
        <f>Data!C81</f>
        <v>43190</v>
      </c>
      <c r="D3" s="8">
        <f>Data!D81</f>
        <v>43555</v>
      </c>
      <c r="E3" s="8">
        <f>Data!E81</f>
        <v>43921</v>
      </c>
      <c r="F3" s="8">
        <f>Data!F81</f>
        <v>44286</v>
      </c>
      <c r="G3" s="8">
        <f>Data!G81</f>
        <v>44651</v>
      </c>
      <c r="H3" s="8">
        <f>Data!H81</f>
        <v>45016</v>
      </c>
      <c r="I3" s="8">
        <f>Data!I81</f>
        <v>45382</v>
      </c>
      <c r="J3" s="8">
        <f>Data!J81</f>
        <v>45747</v>
      </c>
      <c r="K3" s="8">
        <f>Data!K81</f>
        <v>46112</v>
      </c>
    </row>
    <row r="4" spans="1:11" s="5" customFormat="1" ht="14.25" customHeight="1" x14ac:dyDescent="0.3">
      <c r="A4" s="5" t="s">
        <v>58</v>
      </c>
      <c r="B4" s="10">
        <f>Data!B82</f>
        <v>-1980.49</v>
      </c>
      <c r="C4" s="10">
        <f>Data!C82</f>
        <v>247.6</v>
      </c>
      <c r="D4" s="10">
        <f>Data!D82</f>
        <v>194.72</v>
      </c>
      <c r="E4" s="10">
        <f>Data!E82</f>
        <v>951.72</v>
      </c>
      <c r="F4" s="10">
        <f>Data!F82</f>
        <v>-138.68</v>
      </c>
      <c r="G4" s="10">
        <f>Data!G82</f>
        <v>1010.67</v>
      </c>
      <c r="H4" s="10">
        <f>Data!H82</f>
        <v>-3057.9</v>
      </c>
      <c r="I4" s="10">
        <f>Data!I82</f>
        <v>-349.64</v>
      </c>
      <c r="J4" s="10">
        <f>Data!J82</f>
        <v>1214.73</v>
      </c>
      <c r="K4" s="10">
        <f>Data!K82</f>
        <v>-6070.7</v>
      </c>
    </row>
    <row r="5" spans="1:11" ht="14.25" customHeight="1" x14ac:dyDescent="0.3">
      <c r="A5" t="s">
        <v>59</v>
      </c>
      <c r="B5" s="11">
        <f>Data!B83</f>
        <v>-314.2</v>
      </c>
      <c r="C5" s="11">
        <f>Data!C83</f>
        <v>-156.69</v>
      </c>
      <c r="D5" s="11">
        <f>Data!D83</f>
        <v>14.44</v>
      </c>
      <c r="E5" s="11">
        <f>Data!E83</f>
        <v>-352.56</v>
      </c>
      <c r="F5" s="11">
        <f>Data!F83</f>
        <v>-273.38</v>
      </c>
      <c r="G5" s="11">
        <f>Data!G83</f>
        <v>-447.39</v>
      </c>
      <c r="H5" s="11">
        <f>Data!H83</f>
        <v>-273.72000000000003</v>
      </c>
      <c r="I5" s="11">
        <f>Data!I83</f>
        <v>-246.79</v>
      </c>
      <c r="J5" s="11">
        <f>Data!J83</f>
        <v>-1077.28</v>
      </c>
      <c r="K5" s="11">
        <f>Data!K83</f>
        <v>-958.49</v>
      </c>
    </row>
    <row r="6" spans="1:11" ht="14.25" customHeight="1" x14ac:dyDescent="0.3">
      <c r="A6" t="s">
        <v>60</v>
      </c>
      <c r="B6" s="11">
        <f>Data!B84</f>
        <v>2419.9699999999998</v>
      </c>
      <c r="C6" s="11">
        <f>Data!C84</f>
        <v>-98.03</v>
      </c>
      <c r="D6" s="11">
        <f>Data!D84</f>
        <v>-141.28</v>
      </c>
      <c r="E6" s="11">
        <f>Data!E84</f>
        <v>-129.32</v>
      </c>
      <c r="F6" s="11">
        <f>Data!F84</f>
        <v>860.63</v>
      </c>
      <c r="G6" s="11">
        <f>Data!G84</f>
        <v>282.18</v>
      </c>
      <c r="H6" s="11">
        <f>Data!H84</f>
        <v>3770.39</v>
      </c>
      <c r="I6" s="11">
        <f>Data!I84</f>
        <v>3305.79</v>
      </c>
      <c r="J6" s="11">
        <f>Data!J84</f>
        <v>745.01</v>
      </c>
      <c r="K6" s="11">
        <f>Data!K84</f>
        <v>6153.99</v>
      </c>
    </row>
    <row r="7" spans="1:11" s="5" customFormat="1" ht="14.25" customHeight="1" x14ac:dyDescent="0.3">
      <c r="A7" s="5" t="s">
        <v>61</v>
      </c>
      <c r="B7" s="10">
        <f>Data!B85</f>
        <v>125.28</v>
      </c>
      <c r="C7" s="10">
        <f>Data!C85</f>
        <v>-7.12</v>
      </c>
      <c r="D7" s="10">
        <f>Data!D85</f>
        <v>67.88</v>
      </c>
      <c r="E7" s="10">
        <f>Data!E85</f>
        <v>469.84</v>
      </c>
      <c r="F7" s="10">
        <f>Data!F85</f>
        <v>448.57</v>
      </c>
      <c r="G7" s="10">
        <f>Data!G85</f>
        <v>845.46</v>
      </c>
      <c r="H7" s="10">
        <f>Data!H85</f>
        <v>438.77</v>
      </c>
      <c r="I7" s="10">
        <f>Data!I85</f>
        <v>2709.36</v>
      </c>
      <c r="J7" s="10">
        <f>Data!J85</f>
        <v>882.46</v>
      </c>
      <c r="K7" s="10">
        <f>Data!K85</f>
        <v>-875.2</v>
      </c>
    </row>
    <row r="8" spans="1:11" ht="14.25" customHeight="1" x14ac:dyDescent="0.3">
      <c r="B8" s="11"/>
      <c r="C8" s="11"/>
      <c r="D8" s="11"/>
      <c r="E8" s="11"/>
      <c r="F8" s="11"/>
      <c r="G8" s="11"/>
      <c r="H8" s="11"/>
      <c r="I8" s="11"/>
      <c r="J8" s="11"/>
      <c r="K8" s="11"/>
    </row>
  </sheetData>
  <hyperlinks>
    <hyperlink ref="J1" r:id="rId1" xr:uid="{00000000-0004-0000-0400-000000000000}"/>
  </hyperlinks>
  <printOptions gridLines="1"/>
  <pageMargins left="0.7" right="0.7" top="0.75" bottom="0.75" header="0.511811023622047" footer="0.511811023622047"/>
  <pageSetup paperSize="9"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6"/>
  <sheetViews>
    <sheetView zoomScale="150" zoomScaleNormal="150" workbookViewId="0">
      <selection activeCell="B16" sqref="B16"/>
    </sheetView>
  </sheetViews>
  <sheetFormatPr defaultColWidth="8.77734375" defaultRowHeight="14.4" x14ac:dyDescent="0.3"/>
  <cols>
    <col min="1" max="1" width="8.77734375" style="5" customWidth="1"/>
    <col min="2" max="2" width="10.44140625" customWidth="1"/>
    <col min="3" max="3" width="13.33203125" style="21" customWidth="1"/>
    <col min="6" max="6" width="6.77734375" customWidth="1"/>
  </cols>
  <sheetData>
    <row r="1" spans="1:7" ht="21" customHeight="1" x14ac:dyDescent="0.4">
      <c r="A1" s="22" t="s">
        <v>62</v>
      </c>
    </row>
    <row r="3" spans="1:7" ht="14.25" customHeight="1" x14ac:dyDescent="0.3">
      <c r="A3" s="5" t="s">
        <v>63</v>
      </c>
    </row>
    <row r="4" spans="1:7" ht="14.25" customHeight="1" x14ac:dyDescent="0.3">
      <c r="B4" t="s">
        <v>64</v>
      </c>
    </row>
    <row r="5" spans="1:7" ht="14.25" customHeight="1" x14ac:dyDescent="0.3">
      <c r="B5" t="s">
        <v>65</v>
      </c>
    </row>
    <row r="7" spans="1:7" ht="14.25" customHeight="1" x14ac:dyDescent="0.3">
      <c r="A7" s="5" t="s">
        <v>66</v>
      </c>
    </row>
    <row r="8" spans="1:7" ht="14.25" customHeight="1" x14ac:dyDescent="0.3">
      <c r="B8" t="s">
        <v>67</v>
      </c>
      <c r="C8" s="23" t="s">
        <v>68</v>
      </c>
    </row>
    <row r="10" spans="1:7" ht="14.25" customHeight="1" x14ac:dyDescent="0.3">
      <c r="A10" s="5" t="s">
        <v>69</v>
      </c>
    </row>
    <row r="11" spans="1:7" ht="14.25" customHeight="1" x14ac:dyDescent="0.3">
      <c r="B11" t="s">
        <v>70</v>
      </c>
    </row>
    <row r="14" spans="1:7" ht="14.25" customHeight="1" x14ac:dyDescent="0.3">
      <c r="A14" s="5" t="s">
        <v>71</v>
      </c>
    </row>
    <row r="15" spans="1:7" ht="14.25" customHeight="1" x14ac:dyDescent="0.3">
      <c r="B15" t="s">
        <v>72</v>
      </c>
    </row>
    <row r="16" spans="1:7" ht="14.25" customHeight="1" x14ac:dyDescent="0.3">
      <c r="B16" t="s">
        <v>73</v>
      </c>
      <c r="G16" s="24"/>
    </row>
  </sheetData>
  <hyperlinks>
    <hyperlink ref="C8" r:id="rId1" xr:uid="{00000000-0004-0000-0500-000000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Q100"/>
  <sheetViews>
    <sheetView showGridLines="0" zoomScale="21" zoomScaleNormal="82" workbookViewId="0">
      <pane ySplit="3" topLeftCell="A4" activePane="bottomLeft" state="frozen"/>
      <selection pane="bottomLeft" activeCell="K38" sqref="K38"/>
    </sheetView>
  </sheetViews>
  <sheetFormatPr defaultColWidth="8.6640625" defaultRowHeight="14.4" x14ac:dyDescent="0.3"/>
  <cols>
    <col min="1" max="1" width="3.6640625" customWidth="1"/>
    <col min="2" max="2" width="46" style="25" customWidth="1"/>
    <col min="3" max="7" width="14.5546875" style="26" customWidth="1"/>
    <col min="8" max="12" width="15" style="26" customWidth="1"/>
    <col min="13" max="13" width="13.5546875" customWidth="1"/>
    <col min="14" max="14" width="15.21875" customWidth="1"/>
    <col min="15" max="16" width="14.33203125" customWidth="1"/>
    <col min="17" max="17" width="15.21875" customWidth="1"/>
  </cols>
  <sheetData>
    <row r="2" spans="1:17" ht="14.25" customHeight="1" x14ac:dyDescent="0.3">
      <c r="B2" s="139" t="str">
        <f>"Historical Financial Statements For " &amp;Data!B1</f>
        <v>Historical Financial Statements For MOTILAL OSWAL FINANCIAL SERVICES LTD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28"/>
      <c r="N2" s="128"/>
      <c r="O2" s="128"/>
      <c r="P2" s="128"/>
      <c r="Q2" s="128"/>
    </row>
    <row r="3" spans="1:17" ht="14.25" customHeight="1" x14ac:dyDescent="0.3">
      <c r="B3" s="27" t="s">
        <v>74</v>
      </c>
      <c r="C3" s="28">
        <f>Data!B16</f>
        <v>42825</v>
      </c>
      <c r="D3" s="28">
        <f>Data!C16</f>
        <v>43190</v>
      </c>
      <c r="E3" s="28">
        <f>Data!D16</f>
        <v>43555</v>
      </c>
      <c r="F3" s="28">
        <f>Data!E16</f>
        <v>43921</v>
      </c>
      <c r="G3" s="28">
        <f>Data!F16</f>
        <v>44286</v>
      </c>
      <c r="H3" s="28">
        <f>Data!G16</f>
        <v>44651</v>
      </c>
      <c r="I3" s="28">
        <f>Data!H16</f>
        <v>45016</v>
      </c>
      <c r="J3" s="28">
        <f>Data!I16</f>
        <v>45382</v>
      </c>
      <c r="K3" s="28">
        <f>Data!J16</f>
        <v>45747</v>
      </c>
      <c r="L3" s="28">
        <f>Data!K16</f>
        <v>46112</v>
      </c>
      <c r="M3" s="29">
        <f>Data!K16+365</f>
        <v>46477</v>
      </c>
      <c r="N3" s="29">
        <f>M3+365</f>
        <v>46842</v>
      </c>
      <c r="O3" s="29">
        <f>N3+365</f>
        <v>47207</v>
      </c>
      <c r="P3" s="29">
        <f>O3+365</f>
        <v>47572</v>
      </c>
      <c r="Q3" s="29">
        <f>P3+365</f>
        <v>47937</v>
      </c>
    </row>
    <row r="5" spans="1:17" ht="14.25" customHeight="1" x14ac:dyDescent="0.3">
      <c r="A5" s="5" t="s">
        <v>75</v>
      </c>
      <c r="B5" s="30" t="s">
        <v>76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</row>
    <row r="6" spans="1:17" ht="14.25" customHeight="1" x14ac:dyDescent="0.3">
      <c r="M6" s="32"/>
      <c r="N6" s="32"/>
      <c r="O6" s="32"/>
      <c r="P6" s="32"/>
      <c r="Q6" s="32"/>
    </row>
    <row r="7" spans="1:17" ht="14.25" customHeight="1" x14ac:dyDescent="0.3">
      <c r="B7" s="25" t="s">
        <v>18</v>
      </c>
      <c r="C7" s="33">
        <f>Data!B17</f>
        <v>1922.84</v>
      </c>
      <c r="D7" s="33">
        <f>Data!C17</f>
        <v>2751.34</v>
      </c>
      <c r="E7" s="33">
        <f>Data!D17</f>
        <v>2449.92</v>
      </c>
      <c r="F7" s="33">
        <f>Data!E17</f>
        <v>2357.88</v>
      </c>
      <c r="G7" s="33">
        <f>Data!F17</f>
        <v>3625.93</v>
      </c>
      <c r="H7" s="33">
        <f>Data!G17</f>
        <v>4298.05</v>
      </c>
      <c r="I7" s="33">
        <f>Data!H17</f>
        <v>4177.76</v>
      </c>
      <c r="J7" s="33">
        <f>Data!I17</f>
        <v>7069.35</v>
      </c>
      <c r="K7" s="33">
        <f>Data!J17</f>
        <v>8339.5400000000009</v>
      </c>
      <c r="L7" s="33">
        <f>Data!K17</f>
        <v>9381.3700000000008</v>
      </c>
      <c r="M7" s="34">
        <f>_xlfn.FORECAST.LINEAR(M$3,$C7:$L7,$C$3:$L$3)</f>
        <v>9152.3453097589518</v>
      </c>
      <c r="N7" s="34">
        <f>_xlfn.FORECAST.LINEAR(N$3,$C7:$L7,$C$3:$L$3)</f>
        <v>9972.8361078978778</v>
      </c>
      <c r="O7" s="34">
        <f>_xlfn.FORECAST.LINEAR(O$3,$C7:$L7,$C$3:$L$3)</f>
        <v>10793.326906036789</v>
      </c>
      <c r="P7" s="34">
        <f>_xlfn.FORECAST.LINEAR(P$3,$C7:$L7,$C$3:$L$3)</f>
        <v>11613.817704175715</v>
      </c>
      <c r="Q7" s="34">
        <f>_xlfn.FORECAST.LINEAR(Q$3,$C7:$L7,$C$3:$L$3)</f>
        <v>12434.308502314627</v>
      </c>
    </row>
    <row r="8" spans="1:17" ht="14.25" customHeight="1" x14ac:dyDescent="0.3">
      <c r="B8" s="35" t="s">
        <v>77</v>
      </c>
      <c r="C8" s="36" t="s">
        <v>78</v>
      </c>
      <c r="D8" s="36">
        <f t="shared" ref="D8:Q8" si="0">D7/C7-1</f>
        <v>0.4308730835638952</v>
      </c>
      <c r="E8" s="36">
        <f t="shared" si="0"/>
        <v>-0.10955389010445826</v>
      </c>
      <c r="F8" s="36">
        <f t="shared" si="0"/>
        <v>-3.7568573667711602E-2</v>
      </c>
      <c r="G8" s="36">
        <f t="shared" si="0"/>
        <v>0.5377924237026479</v>
      </c>
      <c r="H8" s="36">
        <f t="shared" si="0"/>
        <v>0.18536485811915848</v>
      </c>
      <c r="I8" s="36">
        <f t="shared" si="0"/>
        <v>-2.798711043380131E-2</v>
      </c>
      <c r="J8" s="36">
        <f t="shared" si="0"/>
        <v>0.69213884952701932</v>
      </c>
      <c r="K8" s="36">
        <f t="shared" si="0"/>
        <v>0.17967564203215303</v>
      </c>
      <c r="L8" s="36">
        <f t="shared" si="0"/>
        <v>0.12492655470205793</v>
      </c>
      <c r="M8" s="36">
        <f t="shared" si="0"/>
        <v>-2.4412712667877812E-2</v>
      </c>
      <c r="N8" s="36">
        <f t="shared" si="0"/>
        <v>8.9648147045332083E-2</v>
      </c>
      <c r="O8" s="36">
        <f t="shared" si="0"/>
        <v>8.2272564119361569E-2</v>
      </c>
      <c r="P8" s="36">
        <f t="shared" si="0"/>
        <v>7.6018340339531365E-2</v>
      </c>
      <c r="Q8" s="36">
        <f t="shared" si="0"/>
        <v>7.0647810998781813E-2</v>
      </c>
    </row>
    <row r="9" spans="1:17" ht="14.25" customHeight="1" x14ac:dyDescent="0.3">
      <c r="C9" s="33"/>
      <c r="D9" s="33"/>
      <c r="E9" s="33"/>
      <c r="F9" s="33"/>
      <c r="G9" s="33"/>
      <c r="H9" s="33"/>
      <c r="I9" s="33"/>
      <c r="J9" s="33"/>
      <c r="K9" s="33"/>
      <c r="L9" s="33"/>
      <c r="M9" s="32"/>
      <c r="N9" s="32"/>
      <c r="O9" s="32"/>
      <c r="P9" s="32"/>
      <c r="Q9" s="32"/>
    </row>
    <row r="10" spans="1:17" ht="14.25" customHeight="1" x14ac:dyDescent="0.3">
      <c r="B10" s="25" t="s">
        <v>79</v>
      </c>
      <c r="C10" s="33">
        <f>SUM(Data!B18,Data!B20:B22)-(1*Data!B19)</f>
        <v>371.94</v>
      </c>
      <c r="D10" s="33">
        <f>SUM(Data!C18,Data!C20:C22)-(1*Data!C19)</f>
        <v>1003.26</v>
      </c>
      <c r="E10" s="33">
        <f>SUM(Data!D18,Data!D20:D22)-(1*Data!D19)</f>
        <v>985.65</v>
      </c>
      <c r="F10" s="33">
        <f>SUM(Data!E18,Data!E20:E22)-(1*Data!E19)</f>
        <v>1250.3600000000001</v>
      </c>
      <c r="G10" s="33">
        <f>SUM(Data!F18,Data!F20:F22)-(1*Data!F19)</f>
        <v>1304.58</v>
      </c>
      <c r="H10" s="33">
        <f>SUM(Data!G18,Data!G20:G22)-(1*Data!G19)</f>
        <v>1793.9</v>
      </c>
      <c r="I10" s="33">
        <f>SUM(Data!H18,Data!H20:H22)-(1*Data!H19)</f>
        <v>1915.0900000000001</v>
      </c>
      <c r="J10" s="33">
        <f>SUM(Data!I18,Data!I20:I22)-(1*Data!I19)</f>
        <v>2520.29</v>
      </c>
      <c r="K10" s="33">
        <f>SUM(Data!J18,Data!J20:J22)-(1*Data!J19)</f>
        <v>3150.84</v>
      </c>
      <c r="L10" s="33">
        <f>SUM(Data!K18,Data!K20:K22)-(1*Data!K19)</f>
        <v>4804.9000000000005</v>
      </c>
      <c r="M10" s="34">
        <f>_xlfn.FORECAST.LINEAR(M$3,$C10:$L10,$C$3:$L$3)</f>
        <v>4079.165127068678</v>
      </c>
      <c r="N10" s="34">
        <f>_xlfn.FORECAST.LINEAR(N$3,$C10:$L10,$C$3:$L$3)</f>
        <v>4473.347704305459</v>
      </c>
      <c r="O10" s="34">
        <f>_xlfn.FORECAST.LINEAR(O$3,$C10:$L10,$C$3:$L$3)</f>
        <v>4867.5302815422328</v>
      </c>
      <c r="P10" s="34">
        <f>_xlfn.FORECAST.LINEAR(P$3,$C10:$L10,$C$3:$L$3)</f>
        <v>5261.7128587790139</v>
      </c>
      <c r="Q10" s="34">
        <f>_xlfn.FORECAST.LINEAR(Q$3,$C10:$L10,$C$3:$L$3)</f>
        <v>5655.8954360157877</v>
      </c>
    </row>
    <row r="11" spans="1:17" ht="14.25" customHeight="1" x14ac:dyDescent="0.3"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2"/>
      <c r="N11" s="32"/>
      <c r="O11" s="32"/>
      <c r="P11" s="32"/>
      <c r="Q11" s="32"/>
    </row>
    <row r="12" spans="1:17" ht="14.25" customHeight="1" x14ac:dyDescent="0.3">
      <c r="B12" s="37" t="s">
        <v>80</v>
      </c>
      <c r="C12" s="38">
        <f t="shared" ref="C12:L12" si="1">C7-C10</f>
        <v>1550.8999999999999</v>
      </c>
      <c r="D12" s="38">
        <f t="shared" si="1"/>
        <v>1748.0800000000002</v>
      </c>
      <c r="E12" s="38">
        <f t="shared" si="1"/>
        <v>1464.27</v>
      </c>
      <c r="F12" s="38">
        <f t="shared" si="1"/>
        <v>1107.52</v>
      </c>
      <c r="G12" s="38">
        <f t="shared" si="1"/>
        <v>2321.35</v>
      </c>
      <c r="H12" s="38">
        <f t="shared" si="1"/>
        <v>2504.15</v>
      </c>
      <c r="I12" s="38">
        <f t="shared" si="1"/>
        <v>2262.67</v>
      </c>
      <c r="J12" s="38">
        <f t="shared" si="1"/>
        <v>4549.0600000000004</v>
      </c>
      <c r="K12" s="38">
        <f t="shared" si="1"/>
        <v>5188.7000000000007</v>
      </c>
      <c r="L12" s="38">
        <f t="shared" si="1"/>
        <v>4576.47</v>
      </c>
      <c r="M12" s="39">
        <f>_xlfn.FORECAST.LINEAR(M$3,$C12:$L12,$C$3:$L$3)</f>
        <v>5073.1801826902811</v>
      </c>
      <c r="N12" s="39">
        <f>_xlfn.FORECAST.LINEAR(N$3,$C12:$L12,$C$3:$L$3)</f>
        <v>5499.488403592426</v>
      </c>
      <c r="O12" s="39">
        <f>_xlfn.FORECAST.LINEAR(O$3,$C12:$L12,$C$3:$L$3)</f>
        <v>5925.7966244945637</v>
      </c>
      <c r="P12" s="39">
        <f>_xlfn.FORECAST.LINEAR(P$3,$C12:$L12,$C$3:$L$3)</f>
        <v>6352.1048453967087</v>
      </c>
      <c r="Q12" s="39">
        <f>_xlfn.FORECAST.LINEAR(Q$3,$C12:$L12,$C$3:$L$3)</f>
        <v>6778.4130662988464</v>
      </c>
    </row>
    <row r="13" spans="1:17" ht="14.25" customHeight="1" x14ac:dyDescent="0.3">
      <c r="B13" s="35" t="s">
        <v>81</v>
      </c>
      <c r="C13" s="36">
        <f t="shared" ref="C13:Q13" si="2">C12/C7</f>
        <v>0.80656736909987303</v>
      </c>
      <c r="D13" s="36">
        <f t="shared" si="2"/>
        <v>0.63535586296132074</v>
      </c>
      <c r="E13" s="36">
        <f t="shared" si="2"/>
        <v>0.59768074059561127</v>
      </c>
      <c r="F13" s="36">
        <f t="shared" si="2"/>
        <v>0.46971007854513375</v>
      </c>
      <c r="G13" s="36">
        <f t="shared" si="2"/>
        <v>0.64020816728397956</v>
      </c>
      <c r="H13" s="36">
        <f t="shared" si="2"/>
        <v>0.58262467863333367</v>
      </c>
      <c r="I13" s="36">
        <f t="shared" si="2"/>
        <v>0.54159884722913709</v>
      </c>
      <c r="J13" s="36">
        <f t="shared" si="2"/>
        <v>0.64349056136702809</v>
      </c>
      <c r="K13" s="36">
        <f t="shared" si="2"/>
        <v>0.62218059988920249</v>
      </c>
      <c r="L13" s="36">
        <f t="shared" si="2"/>
        <v>0.48782533894303282</v>
      </c>
      <c r="M13" s="36">
        <f t="shared" si="2"/>
        <v>0.55430384354935303</v>
      </c>
      <c r="N13" s="36">
        <f t="shared" si="2"/>
        <v>0.55144678445454109</v>
      </c>
      <c r="O13" s="36">
        <f t="shared" si="2"/>
        <v>0.54902410314100847</v>
      </c>
      <c r="P13" s="36">
        <f t="shared" si="2"/>
        <v>0.54694373609057312</v>
      </c>
      <c r="Q13" s="36">
        <f t="shared" si="2"/>
        <v>0.54513791941361722</v>
      </c>
    </row>
    <row r="14" spans="1:17" ht="14.25" customHeight="1" x14ac:dyDescent="0.3"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2"/>
      <c r="N14" s="32"/>
      <c r="O14" s="32"/>
      <c r="P14" s="32"/>
      <c r="Q14" s="32"/>
    </row>
    <row r="15" spans="1:17" ht="14.25" customHeight="1" x14ac:dyDescent="0.3">
      <c r="B15" s="25" t="s">
        <v>82</v>
      </c>
      <c r="C15" s="33">
        <f>SUM(Data!B23:B24)</f>
        <v>543.08000000000004</v>
      </c>
      <c r="D15" s="33">
        <f>SUM(Data!C23:C24)</f>
        <v>354.08000000000004</v>
      </c>
      <c r="E15" s="33">
        <f>SUM(Data!D23:D24)</f>
        <v>557.39</v>
      </c>
      <c r="F15" s="33">
        <f>SUM(Data!E23:E24)</f>
        <v>295.68</v>
      </c>
      <c r="G15" s="33">
        <f>SUM(Data!F23:F24)</f>
        <v>305.22000000000003</v>
      </c>
      <c r="H15" s="33">
        <f>SUM(Data!G23:G24)</f>
        <v>383.66999999999996</v>
      </c>
      <c r="I15" s="33">
        <f>SUM(Data!H23:H24)</f>
        <v>385.57</v>
      </c>
      <c r="J15" s="33">
        <f>SUM(Data!I23:I24)</f>
        <v>481.63</v>
      </c>
      <c r="K15" s="33">
        <f>SUM(Data!J23:J24)</f>
        <v>642.9</v>
      </c>
      <c r="L15" s="33">
        <f>SUM(Data!K23:K24)</f>
        <v>699.4</v>
      </c>
      <c r="M15" s="34">
        <f>_xlfn.FORECAST.LINEAR(M$3,$C15:$L15,$C$3:$L$3)</f>
        <v>578.09259529009432</v>
      </c>
      <c r="N15" s="34">
        <f>_xlfn.FORECAST.LINEAR(N$3,$C15:$L15,$C$3:$L$3)</f>
        <v>598.66972612449035</v>
      </c>
      <c r="O15" s="34">
        <f>_xlfn.FORECAST.LINEAR(O$3,$C15:$L15,$C$3:$L$3)</f>
        <v>619.24685695888638</v>
      </c>
      <c r="P15" s="34">
        <f>_xlfn.FORECAST.LINEAR(P$3,$C15:$L15,$C$3:$L$3)</f>
        <v>639.82398779328241</v>
      </c>
      <c r="Q15" s="34">
        <f>_xlfn.FORECAST.LINEAR(Q$3,$C15:$L15,$C$3:$L$3)</f>
        <v>660.40111862767844</v>
      </c>
    </row>
    <row r="16" spans="1:17" ht="14.25" customHeight="1" x14ac:dyDescent="0.3"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2"/>
      <c r="N16" s="32"/>
      <c r="O16" s="32"/>
      <c r="P16" s="32"/>
      <c r="Q16" s="32"/>
    </row>
    <row r="17" spans="2:17" ht="14.25" customHeight="1" x14ac:dyDescent="0.3">
      <c r="B17" s="37" t="s">
        <v>83</v>
      </c>
      <c r="C17" s="38">
        <f t="shared" ref="C17:L17" si="3">C12-C15</f>
        <v>1007.8199999999998</v>
      </c>
      <c r="D17" s="38">
        <f t="shared" si="3"/>
        <v>1394</v>
      </c>
      <c r="E17" s="38">
        <f t="shared" si="3"/>
        <v>906.88</v>
      </c>
      <c r="F17" s="38">
        <f t="shared" si="3"/>
        <v>811.83999999999992</v>
      </c>
      <c r="G17" s="38">
        <f t="shared" si="3"/>
        <v>2016.1299999999999</v>
      </c>
      <c r="H17" s="38">
        <f t="shared" si="3"/>
        <v>2120.48</v>
      </c>
      <c r="I17" s="38">
        <f t="shared" si="3"/>
        <v>1877.1000000000001</v>
      </c>
      <c r="J17" s="38">
        <f t="shared" si="3"/>
        <v>4067.4300000000003</v>
      </c>
      <c r="K17" s="38">
        <f t="shared" si="3"/>
        <v>4545.8000000000011</v>
      </c>
      <c r="L17" s="38">
        <f t="shared" si="3"/>
        <v>3877.07</v>
      </c>
      <c r="M17" s="39">
        <f>_xlfn.FORECAST.LINEAR(M$3,$C17:$L17,$C$3:$L$3)</f>
        <v>4495.0875874001867</v>
      </c>
      <c r="N17" s="39">
        <f>_xlfn.FORECAST.LINEAR(N$3,$C17:$L17,$C$3:$L$3)</f>
        <v>4900.8186774679343</v>
      </c>
      <c r="O17" s="39">
        <f>_xlfn.FORECAST.LINEAR(O$3,$C17:$L17,$C$3:$L$3)</f>
        <v>5306.5497675356819</v>
      </c>
      <c r="P17" s="39">
        <f>_xlfn.FORECAST.LINEAR(P$3,$C17:$L17,$C$3:$L$3)</f>
        <v>5712.2808576034295</v>
      </c>
      <c r="Q17" s="39">
        <f>_xlfn.FORECAST.LINEAR(Q$3,$C17:$L17,$C$3:$L$3)</f>
        <v>6118.0119476711698</v>
      </c>
    </row>
    <row r="18" spans="2:17" ht="14.25" customHeight="1" x14ac:dyDescent="0.3">
      <c r="B18" s="35" t="s">
        <v>84</v>
      </c>
      <c r="C18" s="36">
        <f t="shared" ref="C18:Q18" si="4">C17/C7</f>
        <v>0.52413097293586564</v>
      </c>
      <c r="D18" s="36">
        <f t="shared" si="4"/>
        <v>0.50666220823307917</v>
      </c>
      <c r="E18" s="36">
        <f t="shared" si="4"/>
        <v>0.37016718913270635</v>
      </c>
      <c r="F18" s="36">
        <f t="shared" si="4"/>
        <v>0.34430929479023525</v>
      </c>
      <c r="G18" s="36">
        <f t="shared" si="4"/>
        <v>0.55603114235520268</v>
      </c>
      <c r="H18" s="36">
        <f t="shared" si="4"/>
        <v>0.49335861611661103</v>
      </c>
      <c r="I18" s="36">
        <f t="shared" si="4"/>
        <v>0.44930776301175751</v>
      </c>
      <c r="J18" s="36">
        <f t="shared" si="4"/>
        <v>0.57536124254705168</v>
      </c>
      <c r="K18" s="36">
        <f t="shared" si="4"/>
        <v>0.54509001695537174</v>
      </c>
      <c r="L18" s="36">
        <f t="shared" si="4"/>
        <v>0.41327332788281451</v>
      </c>
      <c r="M18" s="36">
        <f t="shared" si="4"/>
        <v>0.49114051483690963</v>
      </c>
      <c r="N18" s="36">
        <f t="shared" si="4"/>
        <v>0.49141674689577869</v>
      </c>
      <c r="O18" s="36">
        <f t="shared" si="4"/>
        <v>0.49165098154932085</v>
      </c>
      <c r="P18" s="36">
        <f t="shared" si="4"/>
        <v>0.49185211987179678</v>
      </c>
      <c r="Q18" s="36">
        <f t="shared" si="4"/>
        <v>0.49202671355084293</v>
      </c>
    </row>
    <row r="19" spans="2:17" ht="14.25" customHeight="1" x14ac:dyDescent="0.3"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2"/>
      <c r="N19" s="32"/>
      <c r="O19" s="32"/>
      <c r="P19" s="32"/>
      <c r="Q19" s="32"/>
    </row>
    <row r="20" spans="2:17" ht="14.25" customHeight="1" x14ac:dyDescent="0.3">
      <c r="B20" s="25" t="s">
        <v>85</v>
      </c>
      <c r="C20" s="33">
        <f>SUM(Data!B26)</f>
        <v>32.840000000000003</v>
      </c>
      <c r="D20" s="33">
        <f>SUM(Data!C26)</f>
        <v>37.49</v>
      </c>
      <c r="E20" s="33">
        <f>SUM(Data!D26)</f>
        <v>23.95</v>
      </c>
      <c r="F20" s="33">
        <f>SUM(Data!E26)</f>
        <v>39.71</v>
      </c>
      <c r="G20" s="33">
        <f>SUM(Data!F26)</f>
        <v>47.52</v>
      </c>
      <c r="H20" s="33">
        <f>SUM(Data!G26)</f>
        <v>48.26</v>
      </c>
      <c r="I20" s="33">
        <f>SUM(Data!H26)</f>
        <v>58.38</v>
      </c>
      <c r="J20" s="33">
        <f>SUM(Data!I26)</f>
        <v>82.58</v>
      </c>
      <c r="K20" s="33">
        <f>SUM(Data!J26)</f>
        <v>98.76</v>
      </c>
      <c r="L20" s="33">
        <f>SUM(Data!K26)</f>
        <v>110.67</v>
      </c>
      <c r="M20" s="34">
        <f>_xlfn.FORECAST.LINEAR(M$3,$C20:$L20,$C$3:$L$3)</f>
        <v>107.31657209722152</v>
      </c>
      <c r="N20" s="34">
        <f>_xlfn.FORECAST.LINEAR(N$3,$C20:$L20,$C$3:$L$3)</f>
        <v>116.27584957568115</v>
      </c>
      <c r="O20" s="34">
        <f>_xlfn.FORECAST.LINEAR(O$3,$C20:$L20,$C$3:$L$3)</f>
        <v>125.23512705414055</v>
      </c>
      <c r="P20" s="34">
        <f>_xlfn.FORECAST.LINEAR(P$3,$C20:$L20,$C$3:$L$3)</f>
        <v>134.19440453259995</v>
      </c>
      <c r="Q20" s="34">
        <f>_xlfn.FORECAST.LINEAR(Q$3,$C20:$L20,$C$3:$L$3)</f>
        <v>143.15368201105957</v>
      </c>
    </row>
    <row r="21" spans="2:17" ht="14.25" customHeight="1" x14ac:dyDescent="0.3"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2"/>
      <c r="N21" s="32"/>
      <c r="O21" s="32"/>
      <c r="P21" s="32"/>
      <c r="Q21" s="32"/>
    </row>
    <row r="22" spans="2:17" ht="14.25" customHeight="1" x14ac:dyDescent="0.3">
      <c r="B22" s="37" t="s">
        <v>86</v>
      </c>
      <c r="C22" s="38">
        <f t="shared" ref="C22:L22" si="5">C17-C20</f>
        <v>974.97999999999979</v>
      </c>
      <c r="D22" s="38">
        <f t="shared" si="5"/>
        <v>1356.51</v>
      </c>
      <c r="E22" s="38">
        <f t="shared" si="5"/>
        <v>882.93</v>
      </c>
      <c r="F22" s="38">
        <f t="shared" si="5"/>
        <v>772.12999999999988</v>
      </c>
      <c r="G22" s="38">
        <f t="shared" si="5"/>
        <v>1968.61</v>
      </c>
      <c r="H22" s="38">
        <f t="shared" si="5"/>
        <v>2072.2199999999998</v>
      </c>
      <c r="I22" s="38">
        <f t="shared" si="5"/>
        <v>1818.72</v>
      </c>
      <c r="J22" s="38">
        <f t="shared" si="5"/>
        <v>3984.8500000000004</v>
      </c>
      <c r="K22" s="38">
        <f t="shared" si="5"/>
        <v>4447.0400000000009</v>
      </c>
      <c r="L22" s="38">
        <f t="shared" si="5"/>
        <v>3766.4</v>
      </c>
      <c r="M22" s="39">
        <f>_xlfn.FORECAST.LINEAR(M$3,$C22:$L22,$C$3:$L$3)</f>
        <v>4387.7710153029548</v>
      </c>
      <c r="N22" s="39">
        <f>_xlfn.FORECAST.LINEAR(N$3,$C22:$L22,$C$3:$L$3)</f>
        <v>4784.5428278922409</v>
      </c>
      <c r="O22" s="39">
        <f>_xlfn.FORECAST.LINEAR(O$3,$C22:$L22,$C$3:$L$3)</f>
        <v>5181.314640481527</v>
      </c>
      <c r="P22" s="39">
        <f>_xlfn.FORECAST.LINEAR(P$3,$C22:$L22,$C$3:$L$3)</f>
        <v>5578.0864530708131</v>
      </c>
      <c r="Q22" s="39">
        <f>_xlfn.FORECAST.LINEAR(Q$3,$C22:$L22,$C$3:$L$3)</f>
        <v>5974.8582656600993</v>
      </c>
    </row>
    <row r="23" spans="2:17" ht="14.25" customHeight="1" x14ac:dyDescent="0.3">
      <c r="B23" s="35" t="s">
        <v>87</v>
      </c>
      <c r="C23" s="36">
        <f t="shared" ref="C23:L23" si="6">C22/C7</f>
        <v>0.50705206881487785</v>
      </c>
      <c r="D23" s="36">
        <f t="shared" si="6"/>
        <v>0.49303612058124402</v>
      </c>
      <c r="E23" s="36">
        <f t="shared" si="6"/>
        <v>0.36039135971786829</v>
      </c>
      <c r="F23" s="36">
        <f t="shared" si="6"/>
        <v>0.32746789488862871</v>
      </c>
      <c r="G23" s="36">
        <f t="shared" si="6"/>
        <v>0.54292553910307151</v>
      </c>
      <c r="H23" s="36">
        <f t="shared" si="6"/>
        <v>0.48213026837751999</v>
      </c>
      <c r="I23" s="36">
        <f t="shared" si="6"/>
        <v>0.43533376737773349</v>
      </c>
      <c r="J23" s="36">
        <f t="shared" si="6"/>
        <v>0.56367982912148928</v>
      </c>
      <c r="K23" s="36">
        <f t="shared" si="6"/>
        <v>0.53324763715984336</v>
      </c>
      <c r="L23" s="36">
        <f t="shared" si="6"/>
        <v>0.40147654340464128</v>
      </c>
      <c r="M23" s="36">
        <f>M22/M12</f>
        <v>0.86489556004221058</v>
      </c>
      <c r="N23" s="36">
        <f>N22/N12</f>
        <v>0.86999780284414063</v>
      </c>
      <c r="O23" s="36">
        <f>O22/O12</f>
        <v>0.87436592391043511</v>
      </c>
      <c r="P23" s="36">
        <f>P22/P12</f>
        <v>0.87814773037211169</v>
      </c>
      <c r="Q23" s="36">
        <f>Q22/Q12</f>
        <v>0.8814538457926252</v>
      </c>
    </row>
    <row r="24" spans="2:17" ht="14.25" customHeight="1" x14ac:dyDescent="0.3"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2"/>
      <c r="N24" s="32"/>
      <c r="O24" s="32"/>
      <c r="P24" s="32"/>
      <c r="Q24" s="32"/>
    </row>
    <row r="25" spans="2:17" ht="14.25" customHeight="1" x14ac:dyDescent="0.3">
      <c r="B25" s="25" t="s">
        <v>23</v>
      </c>
      <c r="C25" s="33">
        <f>Data!B27</f>
        <v>442.26</v>
      </c>
      <c r="D25" s="33">
        <f>Data!C27</f>
        <v>528.42999999999995</v>
      </c>
      <c r="E25" s="33">
        <f>Data!D27</f>
        <v>516.85</v>
      </c>
      <c r="F25" s="33">
        <f>Data!E27</f>
        <v>494.47</v>
      </c>
      <c r="G25" s="33">
        <f>Data!F27</f>
        <v>430.28</v>
      </c>
      <c r="H25" s="33">
        <f>Data!G27</f>
        <v>478.19</v>
      </c>
      <c r="I25" s="33">
        <f>Data!H27</f>
        <v>595.83000000000004</v>
      </c>
      <c r="J25" s="33">
        <f>Data!I27</f>
        <v>1014.14</v>
      </c>
      <c r="K25" s="33">
        <f>Data!J27</f>
        <v>1298.46</v>
      </c>
      <c r="L25" s="33">
        <f>Data!K27</f>
        <v>1336.41</v>
      </c>
      <c r="M25" s="34">
        <f>_xlfn.FORECAST.LINEAR(M$3,$C25:$L25,$C$3:$L$3)</f>
        <v>1255.9736949372673</v>
      </c>
      <c r="N25" s="34">
        <f>_xlfn.FORECAST.LINEAR(N$3,$C25:$L25,$C$3:$L$3)</f>
        <v>1354.5503534645777</v>
      </c>
      <c r="O25" s="34">
        <f>_xlfn.FORECAST.LINEAR(O$3,$C25:$L25,$C$3:$L$3)</f>
        <v>1453.1270119918881</v>
      </c>
      <c r="P25" s="34">
        <f>_xlfn.FORECAST.LINEAR(P$3,$C25:$L25,$C$3:$L$3)</f>
        <v>1551.7036705191986</v>
      </c>
      <c r="Q25" s="34">
        <f>_xlfn.FORECAST.LINEAR(Q$3,$C25:$L25,$C$3:$L$3)</f>
        <v>1650.280329046509</v>
      </c>
    </row>
    <row r="26" spans="2:17" ht="14.25" customHeight="1" x14ac:dyDescent="0.3"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2"/>
      <c r="N26" s="32"/>
      <c r="O26" s="32"/>
      <c r="P26" s="32"/>
      <c r="Q26" s="32"/>
    </row>
    <row r="27" spans="2:17" ht="14.25" customHeight="1" x14ac:dyDescent="0.3">
      <c r="B27" s="37" t="s">
        <v>88</v>
      </c>
      <c r="C27" s="38">
        <f t="shared" ref="C27:L27" si="7">C22-C25</f>
        <v>532.7199999999998</v>
      </c>
      <c r="D27" s="38">
        <f t="shared" si="7"/>
        <v>828.08</v>
      </c>
      <c r="E27" s="38">
        <f t="shared" si="7"/>
        <v>366.07999999999993</v>
      </c>
      <c r="F27" s="38">
        <f t="shared" si="7"/>
        <v>277.65999999999985</v>
      </c>
      <c r="G27" s="38">
        <f t="shared" si="7"/>
        <v>1538.33</v>
      </c>
      <c r="H27" s="38">
        <f t="shared" si="7"/>
        <v>1594.0299999999997</v>
      </c>
      <c r="I27" s="38">
        <f t="shared" si="7"/>
        <v>1222.8899999999999</v>
      </c>
      <c r="J27" s="38">
        <f t="shared" si="7"/>
        <v>2970.7100000000005</v>
      </c>
      <c r="K27" s="38">
        <f t="shared" si="7"/>
        <v>3148.5800000000008</v>
      </c>
      <c r="L27" s="38">
        <f t="shared" si="7"/>
        <v>2429.9899999999998</v>
      </c>
      <c r="M27" s="39">
        <f>_xlfn.FORECAST.LINEAR(M$3,$C27:$L27,$C$3:$L$3)</f>
        <v>3131.7973203656948</v>
      </c>
      <c r="N27" s="39">
        <f>_xlfn.FORECAST.LINEAR(N$3,$C27:$L27,$C$3:$L$3)</f>
        <v>3429.9924744276723</v>
      </c>
      <c r="O27" s="39">
        <f>_xlfn.FORECAST.LINEAR(O$3,$C27:$L27,$C$3:$L$3)</f>
        <v>3728.1876284896498</v>
      </c>
      <c r="P27" s="39">
        <f>_xlfn.FORECAST.LINEAR(P$3,$C27:$L27,$C$3:$L$3)</f>
        <v>4026.38278255162</v>
      </c>
      <c r="Q27" s="39">
        <f>_xlfn.FORECAST.LINEAR(Q$3,$C27:$L27,$C$3:$L$3)</f>
        <v>4324.5779366135976</v>
      </c>
    </row>
    <row r="28" spans="2:17" ht="14.25" customHeight="1" x14ac:dyDescent="0.3">
      <c r="B28" s="35" t="s">
        <v>89</v>
      </c>
      <c r="C28" s="36">
        <f t="shared" ref="C28:L28" si="8">C27/C7</f>
        <v>0.27704853237918903</v>
      </c>
      <c r="D28" s="36">
        <f t="shared" si="8"/>
        <v>0.30097334389788249</v>
      </c>
      <c r="E28" s="36">
        <f t="shared" si="8"/>
        <v>0.1494252873563218</v>
      </c>
      <c r="F28" s="36">
        <f t="shared" si="8"/>
        <v>0.11775832527524718</v>
      </c>
      <c r="G28" s="36">
        <f t="shared" si="8"/>
        <v>0.42425805241689718</v>
      </c>
      <c r="H28" s="36">
        <f t="shared" si="8"/>
        <v>0.37087283768220464</v>
      </c>
      <c r="I28" s="36">
        <f t="shared" si="8"/>
        <v>0.29271427750756379</v>
      </c>
      <c r="J28" s="36">
        <f t="shared" si="8"/>
        <v>0.42022392440606282</v>
      </c>
      <c r="K28" s="36">
        <f t="shared" si="8"/>
        <v>0.37754840195022754</v>
      </c>
      <c r="L28" s="36">
        <f t="shared" si="8"/>
        <v>0.25902293588249897</v>
      </c>
      <c r="M28" s="36">
        <f>M27/M17</f>
        <v>0.69671552766717615</v>
      </c>
      <c r="N28" s="36">
        <f>N27/N17</f>
        <v>0.69988153003853193</v>
      </c>
      <c r="O28" s="36">
        <f>O27/O17</f>
        <v>0.70256339652138788</v>
      </c>
      <c r="P28" s="36">
        <f>P27/P17</f>
        <v>0.70486428852535044</v>
      </c>
      <c r="Q28" s="36">
        <f>Q27/Q17</f>
        <v>0.7068600018441864</v>
      </c>
    </row>
    <row r="29" spans="2:17" ht="14.25" customHeight="1" x14ac:dyDescent="0.3"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2"/>
      <c r="N29" s="32"/>
      <c r="O29" s="32"/>
      <c r="P29" s="32"/>
      <c r="Q29" s="32"/>
    </row>
    <row r="30" spans="2:17" ht="14.25" customHeight="1" x14ac:dyDescent="0.3">
      <c r="B30" s="25" t="s">
        <v>25</v>
      </c>
      <c r="C30" s="33">
        <f>Data!B29</f>
        <v>141.09</v>
      </c>
      <c r="D30" s="33">
        <f>Data!C29</f>
        <v>205.86</v>
      </c>
      <c r="E30" s="33">
        <f>Data!D29</f>
        <v>92.65</v>
      </c>
      <c r="F30" s="33">
        <f>Data!E29</f>
        <v>69.790000000000006</v>
      </c>
      <c r="G30" s="33">
        <f>Data!F29</f>
        <v>255.46</v>
      </c>
      <c r="H30" s="33">
        <f>Data!G29</f>
        <v>305.08999999999997</v>
      </c>
      <c r="I30" s="33">
        <f>Data!H29</f>
        <v>309.43</v>
      </c>
      <c r="J30" s="33">
        <f>Data!I29</f>
        <v>586.26</v>
      </c>
      <c r="K30" s="33">
        <f>Data!J29</f>
        <v>718.08</v>
      </c>
      <c r="L30" s="33">
        <f>Data!K29</f>
        <v>599.61</v>
      </c>
      <c r="M30" s="34">
        <f>_xlfn.FORECAST.LINEAR(M$3,$C30:$L30,$C$3:$L$3)</f>
        <v>693.23290777650891</v>
      </c>
      <c r="N30" s="34">
        <f>_xlfn.FORECAST.LINEAR(N$3,$C30:$L30,$C$3:$L$3)</f>
        <v>759.54549495023366</v>
      </c>
      <c r="O30" s="34">
        <f>_xlfn.FORECAST.LINEAR(O$3,$C30:$L30,$C$3:$L$3)</f>
        <v>825.85808212395659</v>
      </c>
      <c r="P30" s="34">
        <f>_xlfn.FORECAST.LINEAR(P$3,$C30:$L30,$C$3:$L$3)</f>
        <v>892.17066929768134</v>
      </c>
      <c r="Q30" s="34">
        <f>_xlfn.FORECAST.LINEAR(Q$3,$C30:$L30,$C$3:$L$3)</f>
        <v>958.48325647140609</v>
      </c>
    </row>
    <row r="31" spans="2:17" ht="14.25" customHeight="1" x14ac:dyDescent="0.3"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2"/>
      <c r="N31" s="32"/>
      <c r="O31" s="32"/>
      <c r="P31" s="32"/>
      <c r="Q31" s="32"/>
    </row>
    <row r="32" spans="2:17" ht="14.25" customHeight="1" x14ac:dyDescent="0.3">
      <c r="B32" s="37" t="s">
        <v>90</v>
      </c>
      <c r="C32" s="38">
        <f t="shared" ref="C32:L32" si="9">C27-C30</f>
        <v>391.62999999999977</v>
      </c>
      <c r="D32" s="38">
        <f t="shared" si="9"/>
        <v>622.22</v>
      </c>
      <c r="E32" s="38">
        <f t="shared" si="9"/>
        <v>273.42999999999995</v>
      </c>
      <c r="F32" s="38">
        <f t="shared" si="9"/>
        <v>207.86999999999983</v>
      </c>
      <c r="G32" s="38">
        <f t="shared" si="9"/>
        <v>1282.8699999999999</v>
      </c>
      <c r="H32" s="38">
        <f t="shared" si="9"/>
        <v>1288.9399999999998</v>
      </c>
      <c r="I32" s="38">
        <f t="shared" si="9"/>
        <v>913.45999999999981</v>
      </c>
      <c r="J32" s="38">
        <f t="shared" si="9"/>
        <v>2384.4500000000007</v>
      </c>
      <c r="K32" s="38">
        <f t="shared" si="9"/>
        <v>2430.5000000000009</v>
      </c>
      <c r="L32" s="38">
        <f t="shared" si="9"/>
        <v>1830.3799999999997</v>
      </c>
      <c r="M32" s="39">
        <f>_xlfn.FORECAST.LINEAR(M$3,$C32:$L32,$C$3:$L$3)</f>
        <v>2438.5644125891886</v>
      </c>
      <c r="N32" s="39">
        <f>_xlfn.FORECAST.LINEAR(N$3,$C32:$L32,$C$3:$L$3)</f>
        <v>2670.4469794774413</v>
      </c>
      <c r="O32" s="39">
        <f>_xlfn.FORECAST.LINEAR(O$3,$C32:$L32,$C$3:$L$3)</f>
        <v>2902.3295463656905</v>
      </c>
      <c r="P32" s="39">
        <f>_xlfn.FORECAST.LINEAR(P$3,$C32:$L32,$C$3:$L$3)</f>
        <v>3134.2121132539432</v>
      </c>
      <c r="Q32" s="39">
        <f>_xlfn.FORECAST.LINEAR(Q$3,$C32:$L32,$C$3:$L$3)</f>
        <v>3366.094680142196</v>
      </c>
    </row>
    <row r="33" spans="1:17" ht="14.25" customHeight="1" x14ac:dyDescent="0.3">
      <c r="B33" s="35" t="s">
        <v>91</v>
      </c>
      <c r="C33" s="36">
        <f t="shared" ref="C33:L33" si="10">C32/C7</f>
        <v>0.2036726924757129</v>
      </c>
      <c r="D33" s="36">
        <f t="shared" si="10"/>
        <v>0.22615162066483968</v>
      </c>
      <c r="E33" s="36">
        <f t="shared" si="10"/>
        <v>0.11160772596656215</v>
      </c>
      <c r="F33" s="36">
        <f t="shared" si="10"/>
        <v>8.8159702783856611E-2</v>
      </c>
      <c r="G33" s="36">
        <f t="shared" si="10"/>
        <v>0.35380440328412294</v>
      </c>
      <c r="H33" s="36">
        <f t="shared" si="10"/>
        <v>0.29988948476634747</v>
      </c>
      <c r="I33" s="36">
        <f t="shared" si="10"/>
        <v>0.21864827084370567</v>
      </c>
      <c r="J33" s="36">
        <f t="shared" si="10"/>
        <v>0.33729409351637712</v>
      </c>
      <c r="K33" s="36">
        <f t="shared" si="10"/>
        <v>0.29144293330327581</v>
      </c>
      <c r="L33" s="36">
        <f t="shared" si="10"/>
        <v>0.19510796397541078</v>
      </c>
      <c r="M33" s="36">
        <f>M32/M22</f>
        <v>0.55576382725633577</v>
      </c>
      <c r="N33" s="36">
        <f>N32/N22</f>
        <v>0.5581404693275297</v>
      </c>
      <c r="O33" s="36">
        <f>O32/O22</f>
        <v>0.56015311706605053</v>
      </c>
      <c r="P33" s="36">
        <f>P32/P22</f>
        <v>0.56187944371649468</v>
      </c>
      <c r="Q33" s="36">
        <f>Q32/Q22</f>
        <v>0.56337649036605419</v>
      </c>
    </row>
    <row r="35" spans="1:17" ht="14.25" customHeight="1" x14ac:dyDescent="0.3">
      <c r="A35" s="5" t="s">
        <v>75</v>
      </c>
      <c r="B35" s="30" t="s">
        <v>92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</row>
    <row r="36" spans="1:17" ht="14.25" customHeight="1" x14ac:dyDescent="0.3">
      <c r="B36" s="25" t="s">
        <v>93</v>
      </c>
      <c r="C36" s="40">
        <f>Data!B57</f>
        <v>14.45</v>
      </c>
      <c r="D36" s="40">
        <f>Data!C57</f>
        <v>14.51</v>
      </c>
      <c r="E36" s="40">
        <f>Data!D57</f>
        <v>14.57</v>
      </c>
      <c r="F36" s="40">
        <f>Data!E57</f>
        <v>14.81</v>
      </c>
      <c r="G36" s="40">
        <f>Data!F57</f>
        <v>14.85</v>
      </c>
      <c r="H36" s="40">
        <f>Data!G57</f>
        <v>14.91</v>
      </c>
      <c r="I36" s="40">
        <f>Data!H57</f>
        <v>14.79</v>
      </c>
      <c r="J36" s="40">
        <f>Data!I57</f>
        <v>14.9</v>
      </c>
      <c r="K36" s="40">
        <f>Data!J57</f>
        <v>59.93</v>
      </c>
      <c r="L36" s="40">
        <f>Data!K57</f>
        <v>60.19</v>
      </c>
      <c r="M36" s="34">
        <f t="shared" ref="M36:Q38" si="11">_xlfn.FORECAST.LINEAR(M$3,$C36:$L36,$C$3:$L$3)</f>
        <v>48.160857154227187</v>
      </c>
      <c r="N36" s="34">
        <f t="shared" si="11"/>
        <v>52.589534207397719</v>
      </c>
      <c r="O36" s="34">
        <f t="shared" si="11"/>
        <v>57.018211260568251</v>
      </c>
      <c r="P36" s="34">
        <f t="shared" si="11"/>
        <v>61.446888313738668</v>
      </c>
      <c r="Q36" s="34">
        <f t="shared" si="11"/>
        <v>65.8755653669092</v>
      </c>
    </row>
    <row r="37" spans="1:17" ht="14.25" customHeight="1" x14ac:dyDescent="0.3">
      <c r="B37" s="25" t="s">
        <v>44</v>
      </c>
      <c r="C37" s="40">
        <f>Data!B58</f>
        <v>1771.58</v>
      </c>
      <c r="D37" s="40">
        <f>Data!C58</f>
        <v>2871.39</v>
      </c>
      <c r="E37" s="40">
        <f>Data!D58</f>
        <v>3038.87</v>
      </c>
      <c r="F37" s="40">
        <f>Data!E58</f>
        <v>3071.49</v>
      </c>
      <c r="G37" s="40">
        <f>Data!F58</f>
        <v>4446.57</v>
      </c>
      <c r="H37" s="40">
        <f>Data!G58</f>
        <v>5659.46</v>
      </c>
      <c r="I37" s="40">
        <f>Data!H58</f>
        <v>6237.45</v>
      </c>
      <c r="J37" s="40">
        <f>Data!I58</f>
        <v>8716.8700000000008</v>
      </c>
      <c r="K37" s="40">
        <f>Data!J58</f>
        <v>11019.4</v>
      </c>
      <c r="L37" s="40">
        <f>Data!K58</f>
        <v>12827.93</v>
      </c>
      <c r="M37" s="34">
        <f t="shared" si="11"/>
        <v>12486.265185364289</v>
      </c>
      <c r="N37" s="34">
        <f t="shared" si="11"/>
        <v>13671.15934899784</v>
      </c>
      <c r="O37" s="34">
        <f t="shared" si="11"/>
        <v>14856.053512631392</v>
      </c>
      <c r="P37" s="34">
        <f t="shared" si="11"/>
        <v>16040.947676264943</v>
      </c>
      <c r="Q37" s="34">
        <f t="shared" si="11"/>
        <v>17225.841839898494</v>
      </c>
    </row>
    <row r="38" spans="1:17" ht="14.25" customHeight="1" x14ac:dyDescent="0.3">
      <c r="B38" s="25" t="s">
        <v>94</v>
      </c>
      <c r="C38" s="40">
        <f>Data!B59</f>
        <v>5066.83</v>
      </c>
      <c r="D38" s="40">
        <f>Data!C59</f>
        <v>5322.94</v>
      </c>
      <c r="E38" s="40">
        <f>Data!D59</f>
        <v>5157.7700000000004</v>
      </c>
      <c r="F38" s="40">
        <f>Data!E59</f>
        <v>4626.93</v>
      </c>
      <c r="G38" s="40">
        <f>Data!F59</f>
        <v>5693.29</v>
      </c>
      <c r="H38" s="40">
        <f>Data!G59</f>
        <v>6152.49</v>
      </c>
      <c r="I38" s="40">
        <f>Data!H59</f>
        <v>10277.620000000001</v>
      </c>
      <c r="J38" s="40">
        <f>Data!I59</f>
        <v>13787.48</v>
      </c>
      <c r="K38" s="40">
        <f>Data!J59</f>
        <v>14731.61</v>
      </c>
      <c r="L38" s="40">
        <f>Data!K59</f>
        <v>21255.11</v>
      </c>
      <c r="M38" s="34">
        <f t="shared" si="11"/>
        <v>18275.827279094694</v>
      </c>
      <c r="N38" s="34">
        <f t="shared" si="11"/>
        <v>19923.846398770867</v>
      </c>
      <c r="O38" s="34">
        <f t="shared" si="11"/>
        <v>21571.865518447012</v>
      </c>
      <c r="P38" s="34">
        <f t="shared" si="11"/>
        <v>23219.884638123185</v>
      </c>
      <c r="Q38" s="34">
        <f t="shared" si="11"/>
        <v>24867.903757799329</v>
      </c>
    </row>
    <row r="39" spans="1:17" ht="14.25" customHeight="1" x14ac:dyDescent="0.3"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34"/>
      <c r="N39" s="34"/>
      <c r="O39" s="34"/>
      <c r="P39" s="34"/>
      <c r="Q39" s="34"/>
    </row>
    <row r="40" spans="1:17" ht="14.25" customHeight="1" x14ac:dyDescent="0.3">
      <c r="B40" s="41" t="s">
        <v>95</v>
      </c>
      <c r="C40" s="41">
        <v>20</v>
      </c>
      <c r="D40" s="41">
        <v>22</v>
      </c>
      <c r="E40" s="41">
        <v>20</v>
      </c>
      <c r="F40" s="41">
        <v>18</v>
      </c>
      <c r="G40" s="41">
        <v>17</v>
      </c>
      <c r="H40" s="41">
        <v>20</v>
      </c>
      <c r="I40" s="41">
        <v>26</v>
      </c>
      <c r="J40" s="41">
        <v>218</v>
      </c>
      <c r="K40" s="41">
        <v>205</v>
      </c>
      <c r="L40" s="41">
        <v>207</v>
      </c>
      <c r="M40" s="34">
        <f t="shared" ref="M40:Q43" si="12">_xlfn.FORECAST.LINEAR(M$3,$C40:$L40,$C$3:$L$3)</f>
        <v>209.98476098244146</v>
      </c>
      <c r="N40" s="34">
        <f t="shared" si="12"/>
        <v>234.09725177586506</v>
      </c>
      <c r="O40" s="34">
        <f t="shared" si="12"/>
        <v>258.20974256928866</v>
      </c>
      <c r="P40" s="34">
        <f t="shared" si="12"/>
        <v>282.32223336271181</v>
      </c>
      <c r="Q40" s="34">
        <f t="shared" si="12"/>
        <v>306.43472415613542</v>
      </c>
    </row>
    <row r="41" spans="1:17" ht="14.25" customHeight="1" x14ac:dyDescent="0.3">
      <c r="B41" s="41" t="s">
        <v>96</v>
      </c>
      <c r="C41" s="42">
        <v>5685</v>
      </c>
      <c r="D41" s="42">
        <v>6186</v>
      </c>
      <c r="E41" s="42">
        <v>7170</v>
      </c>
      <c r="F41" s="42">
        <v>7206</v>
      </c>
      <c r="G41" s="42">
        <v>7535</v>
      </c>
      <c r="H41" s="42">
        <v>8802</v>
      </c>
      <c r="I41" s="42">
        <v>9068</v>
      </c>
      <c r="J41" s="42">
        <v>9574</v>
      </c>
      <c r="K41" s="42">
        <v>10486</v>
      </c>
      <c r="L41" s="42">
        <v>11315</v>
      </c>
      <c r="M41" s="34">
        <f t="shared" si="12"/>
        <v>11623.408317325608</v>
      </c>
      <c r="N41" s="34">
        <f t="shared" si="12"/>
        <v>12226.872860927222</v>
      </c>
      <c r="O41" s="34">
        <f t="shared" si="12"/>
        <v>12830.337404528836</v>
      </c>
      <c r="P41" s="34">
        <f t="shared" si="12"/>
        <v>13433.801948130451</v>
      </c>
      <c r="Q41" s="34">
        <f t="shared" si="12"/>
        <v>14037.266491732065</v>
      </c>
    </row>
    <row r="42" spans="1:17" ht="14.25" customHeight="1" x14ac:dyDescent="0.3">
      <c r="B42" s="41" t="s">
        <v>97</v>
      </c>
      <c r="C42" s="41">
        <v>45</v>
      </c>
      <c r="D42" s="41">
        <v>78</v>
      </c>
      <c r="E42" s="41">
        <v>62</v>
      </c>
      <c r="F42" s="41">
        <v>43</v>
      </c>
      <c r="G42" s="41">
        <v>158</v>
      </c>
      <c r="H42" s="41">
        <v>96</v>
      </c>
      <c r="I42" s="41">
        <v>119</v>
      </c>
      <c r="J42" s="41">
        <v>98</v>
      </c>
      <c r="K42" s="41">
        <v>91</v>
      </c>
      <c r="L42" s="41">
        <v>105</v>
      </c>
      <c r="M42" s="34">
        <f t="shared" si="12"/>
        <v>122.05737994131323</v>
      </c>
      <c r="N42" s="34">
        <f t="shared" si="12"/>
        <v>127.97395633094686</v>
      </c>
      <c r="O42" s="34">
        <f t="shared" si="12"/>
        <v>133.89053272058061</v>
      </c>
      <c r="P42" s="34">
        <f t="shared" si="12"/>
        <v>139.80710911021436</v>
      </c>
      <c r="Q42" s="34">
        <f t="shared" si="12"/>
        <v>145.7236854998481</v>
      </c>
    </row>
    <row r="43" spans="1:17" ht="14.25" customHeight="1" x14ac:dyDescent="0.3">
      <c r="B43" s="41" t="s">
        <v>98</v>
      </c>
      <c r="C43" s="42">
        <v>2293</v>
      </c>
      <c r="D43" s="42">
        <v>2399</v>
      </c>
      <c r="E43" s="42">
        <v>3329</v>
      </c>
      <c r="F43" s="42">
        <v>3396</v>
      </c>
      <c r="G43" s="42">
        <v>4214</v>
      </c>
      <c r="H43" s="42">
        <v>12148</v>
      </c>
      <c r="I43" s="42">
        <v>11189</v>
      </c>
      <c r="J43" s="42">
        <v>11664</v>
      </c>
      <c r="K43" s="42">
        <v>15005</v>
      </c>
      <c r="L43" s="42">
        <v>17186</v>
      </c>
      <c r="M43" s="34">
        <f t="shared" si="12"/>
        <v>18122.254506712605</v>
      </c>
      <c r="N43" s="34">
        <f t="shared" si="12"/>
        <v>19910.446388689248</v>
      </c>
      <c r="O43" s="34">
        <f t="shared" si="12"/>
        <v>21698.638270665921</v>
      </c>
      <c r="P43" s="34">
        <f t="shared" si="12"/>
        <v>23486.830152642564</v>
      </c>
      <c r="Q43" s="34">
        <f t="shared" si="12"/>
        <v>25275.022034619207</v>
      </c>
    </row>
    <row r="44" spans="1:17" ht="14.25" customHeight="1" x14ac:dyDescent="0.3">
      <c r="B44" s="43" t="s">
        <v>99</v>
      </c>
      <c r="C44" s="44">
        <f t="shared" ref="C44:P44" si="13">SUM(C40:C43)</f>
        <v>8043</v>
      </c>
      <c r="D44" s="44">
        <f t="shared" si="13"/>
        <v>8685</v>
      </c>
      <c r="E44" s="44">
        <f t="shared" si="13"/>
        <v>10581</v>
      </c>
      <c r="F44" s="44">
        <f t="shared" si="13"/>
        <v>10663</v>
      </c>
      <c r="G44" s="44">
        <f t="shared" si="13"/>
        <v>11924</v>
      </c>
      <c r="H44" s="44">
        <f t="shared" si="13"/>
        <v>21066</v>
      </c>
      <c r="I44" s="44">
        <f t="shared" si="13"/>
        <v>20402</v>
      </c>
      <c r="J44" s="44">
        <f t="shared" si="13"/>
        <v>21554</v>
      </c>
      <c r="K44" s="44">
        <f t="shared" si="13"/>
        <v>25787</v>
      </c>
      <c r="L44" s="44">
        <f t="shared" si="13"/>
        <v>28813</v>
      </c>
      <c r="M44" s="45">
        <f t="shared" si="13"/>
        <v>30077.704964961966</v>
      </c>
      <c r="N44" s="45">
        <f t="shared" si="13"/>
        <v>32499.390457723282</v>
      </c>
      <c r="O44" s="45">
        <f t="shared" si="13"/>
        <v>34921.075950484628</v>
      </c>
      <c r="P44" s="45">
        <f t="shared" si="13"/>
        <v>37342.761443245938</v>
      </c>
      <c r="Q44" s="34">
        <f>_xlfn.FORECAST.LINEAR(Q$3,$C44:$L44,$C$3:$L$3)</f>
        <v>39764.44693600724</v>
      </c>
    </row>
    <row r="46" spans="1:17" ht="14.25" customHeight="1" x14ac:dyDescent="0.3">
      <c r="B46" s="46" t="s">
        <v>100</v>
      </c>
      <c r="C46" s="47">
        <f>Data!B61</f>
        <v>8438.9</v>
      </c>
      <c r="D46" s="47">
        <f>Data!C61</f>
        <v>10411.25</v>
      </c>
      <c r="E46" s="47">
        <f>Data!D61</f>
        <v>10360.27</v>
      </c>
      <c r="F46" s="47">
        <f>Data!E61</f>
        <v>10083.61</v>
      </c>
      <c r="G46" s="47">
        <f>Data!F61</f>
        <v>14041.41</v>
      </c>
      <c r="H46" s="47">
        <f>Data!G61</f>
        <v>16859.810000000001</v>
      </c>
      <c r="I46" s="47">
        <f>Data!H61</f>
        <v>22949.27</v>
      </c>
      <c r="J46" s="47">
        <f>Data!I61</f>
        <v>31770.95</v>
      </c>
      <c r="K46" s="47">
        <f>Data!J61</f>
        <v>33916.449999999997</v>
      </c>
      <c r="L46" s="47">
        <f>Data!K61</f>
        <v>43400.79</v>
      </c>
      <c r="M46" s="48">
        <f>_xlfn.FORECAST.LINEAR(M$3,$C46:$L46,$C$3:$L$3)</f>
        <v>41141.175691828365</v>
      </c>
      <c r="N46" s="48">
        <f>_xlfn.FORECAST.LINEAR(N$3,$C46:$L46,$C$3:$L$3)</f>
        <v>44942.537510358263</v>
      </c>
      <c r="O46" s="48">
        <f>_xlfn.FORECAST.LINEAR(O$3,$C46:$L46,$C$3:$L$3)</f>
        <v>48743.899328888219</v>
      </c>
      <c r="P46" s="48">
        <f>_xlfn.FORECAST.LINEAR(P$3,$C46:$L46,$C$3:$L$3)</f>
        <v>52545.261147418118</v>
      </c>
      <c r="Q46" s="48">
        <f>_xlfn.FORECAST.LINEAR(Q$3,$C46:$L46,$C$3:$L$3)</f>
        <v>56346.622965948074</v>
      </c>
    </row>
    <row r="47" spans="1:17" ht="14.25" customHeight="1" x14ac:dyDescent="0.3">
      <c r="C47" s="40"/>
      <c r="D47" s="40"/>
      <c r="E47" s="40"/>
      <c r="F47" s="40"/>
      <c r="G47" s="40"/>
      <c r="H47" s="40"/>
      <c r="I47" s="40"/>
      <c r="J47" s="40"/>
      <c r="K47" s="40"/>
      <c r="L47" s="40"/>
    </row>
    <row r="48" spans="1:17" ht="14.25" customHeight="1" x14ac:dyDescent="0.3">
      <c r="B48" s="11" t="s">
        <v>48</v>
      </c>
      <c r="C48" s="40">
        <f>Data!B62</f>
        <v>293.67</v>
      </c>
      <c r="D48" s="40">
        <f>Data!C62</f>
        <v>299.57</v>
      </c>
      <c r="E48" s="40">
        <f>Data!D62</f>
        <v>302.10000000000002</v>
      </c>
      <c r="F48" s="40">
        <f>Data!E62</f>
        <v>333.35</v>
      </c>
      <c r="G48" s="40">
        <f>Data!F62</f>
        <v>350.33</v>
      </c>
      <c r="H48" s="40">
        <f>Data!G62</f>
        <v>356.66</v>
      </c>
      <c r="I48" s="40">
        <f>Data!H62</f>
        <v>465.81</v>
      </c>
      <c r="J48" s="40">
        <f>Data!I62</f>
        <v>603.25</v>
      </c>
      <c r="K48" s="40">
        <f>Data!J62</f>
        <v>753.87</v>
      </c>
      <c r="L48" s="40">
        <f>Data!K62</f>
        <v>768.67</v>
      </c>
      <c r="M48" s="34">
        <f t="shared" ref="M48:Q53" si="14">_xlfn.FORECAST.LINEAR(M$3,$C48:$L48,$C$3:$L$3)</f>
        <v>764.82487097237117</v>
      </c>
      <c r="N48" s="34">
        <f t="shared" si="14"/>
        <v>821.54150423346982</v>
      </c>
      <c r="O48" s="34">
        <f t="shared" si="14"/>
        <v>878.25813749456756</v>
      </c>
      <c r="P48" s="34">
        <f t="shared" si="14"/>
        <v>934.9747707556653</v>
      </c>
      <c r="Q48" s="34">
        <f t="shared" si="14"/>
        <v>991.69140401676395</v>
      </c>
    </row>
    <row r="49" spans="1:17" ht="14.25" customHeight="1" x14ac:dyDescent="0.3">
      <c r="B49" s="11" t="s">
        <v>49</v>
      </c>
      <c r="C49" s="40">
        <f>Data!B63</f>
        <v>0</v>
      </c>
      <c r="D49" s="40">
        <f>Data!C63</f>
        <v>0.11</v>
      </c>
      <c r="E49" s="40">
        <f>Data!D63</f>
        <v>0.11</v>
      </c>
      <c r="F49" s="40">
        <f>Data!E63</f>
        <v>0</v>
      </c>
      <c r="G49" s="40">
        <f>Data!F63</f>
        <v>0</v>
      </c>
      <c r="H49" s="40">
        <f>Data!G63</f>
        <v>0</v>
      </c>
      <c r="I49" s="40">
        <f>Data!H63</f>
        <v>0</v>
      </c>
      <c r="J49" s="40">
        <f>Data!I63</f>
        <v>0</v>
      </c>
      <c r="K49" s="40">
        <f>Data!J63</f>
        <v>114.63</v>
      </c>
      <c r="L49" s="40">
        <f>Data!K63</f>
        <v>115.14</v>
      </c>
      <c r="M49" s="34">
        <f t="shared" si="14"/>
        <v>84.23101793597607</v>
      </c>
      <c r="N49" s="34">
        <f t="shared" si="14"/>
        <v>95.358569116773197</v>
      </c>
      <c r="O49" s="34">
        <f t="shared" si="14"/>
        <v>106.48612029757055</v>
      </c>
      <c r="P49" s="34">
        <f t="shared" si="14"/>
        <v>117.61367147836768</v>
      </c>
      <c r="Q49" s="34">
        <f t="shared" si="14"/>
        <v>128.74122265916503</v>
      </c>
    </row>
    <row r="50" spans="1:17" ht="14.25" customHeight="1" x14ac:dyDescent="0.3">
      <c r="B50" s="11" t="s">
        <v>50</v>
      </c>
      <c r="C50" s="40">
        <f>Data!B64</f>
        <v>1766.9</v>
      </c>
      <c r="D50" s="40">
        <f>Data!C64</f>
        <v>2807.18</v>
      </c>
      <c r="E50" s="40">
        <f>Data!D64</f>
        <v>2685.91</v>
      </c>
      <c r="F50" s="40">
        <f>Data!E64</f>
        <v>3088.5</v>
      </c>
      <c r="G50" s="40">
        <f>Data!F64</f>
        <v>3922.35</v>
      </c>
      <c r="H50" s="40">
        <f>Data!G64</f>
        <v>4684.91</v>
      </c>
      <c r="I50" s="40">
        <f>Data!H64</f>
        <v>4786.96</v>
      </c>
      <c r="J50" s="40">
        <f>Data!I64</f>
        <v>6500.65</v>
      </c>
      <c r="K50" s="40">
        <f>Data!J64</f>
        <v>8850.64</v>
      </c>
      <c r="L50" s="40">
        <f>Data!K64</f>
        <v>10299.18</v>
      </c>
      <c r="M50" s="34">
        <f t="shared" si="14"/>
        <v>9739.252047550166</v>
      </c>
      <c r="N50" s="34">
        <f t="shared" si="14"/>
        <v>10611.532817953848</v>
      </c>
      <c r="O50" s="34">
        <f t="shared" si="14"/>
        <v>11483.813588357545</v>
      </c>
      <c r="P50" s="34">
        <f t="shared" si="14"/>
        <v>12356.094358761227</v>
      </c>
      <c r="Q50" s="34">
        <f t="shared" si="14"/>
        <v>13228.375129164924</v>
      </c>
    </row>
    <row r="51" spans="1:17" ht="14.25" customHeight="1" x14ac:dyDescent="0.3">
      <c r="B51" s="11" t="s">
        <v>51</v>
      </c>
      <c r="C51" s="40">
        <f>Data!B65-SUM(Data!B67:B69)</f>
        <v>4655.45</v>
      </c>
      <c r="D51" s="40">
        <f>Data!C65-SUM(Data!C67:C69)</f>
        <v>5807.2800000000007</v>
      </c>
      <c r="E51" s="40">
        <f>Data!D65-SUM(Data!D67:D69)</f>
        <v>5165.75</v>
      </c>
      <c r="F51" s="40">
        <f>Data!E65-SUM(Data!E67:E69)</f>
        <v>4538.2800000000007</v>
      </c>
      <c r="G51" s="40">
        <f>Data!F65-SUM(Data!F67:F69)</f>
        <v>5359.7199999999993</v>
      </c>
      <c r="H51" s="40">
        <f>Data!G65-SUM(Data!G67:G69)</f>
        <v>5499.9</v>
      </c>
      <c r="I51" s="40">
        <f>Data!H65-SUM(Data!H67:H69)</f>
        <v>7830.5</v>
      </c>
      <c r="J51" s="40">
        <f>Data!I65-SUM(Data!I67:I69)</f>
        <v>10677.619999999999</v>
      </c>
      <c r="K51" s="40">
        <f>Data!J65-SUM(Data!J67:J69)</f>
        <v>11295.980000000001</v>
      </c>
      <c r="L51" s="40">
        <f>Data!K65-SUM(Data!K67:K69)</f>
        <v>14676.23</v>
      </c>
      <c r="M51" s="34">
        <f t="shared" si="14"/>
        <v>13089.014412889548</v>
      </c>
      <c r="N51" s="34">
        <f t="shared" si="14"/>
        <v>14095.484587499799</v>
      </c>
      <c r="O51" s="34">
        <f t="shared" si="14"/>
        <v>15101.95476211005</v>
      </c>
      <c r="P51" s="34">
        <f t="shared" si="14"/>
        <v>16108.424936720301</v>
      </c>
      <c r="Q51" s="34">
        <f t="shared" si="14"/>
        <v>17114.895111330567</v>
      </c>
    </row>
    <row r="52" spans="1:17" ht="14.25" customHeight="1" x14ac:dyDescent="0.3">
      <c r="B52" s="49" t="s">
        <v>101</v>
      </c>
      <c r="C52" s="50">
        <f t="shared" ref="C52:L52" si="15">SUM(C48:C51)</f>
        <v>6716.02</v>
      </c>
      <c r="D52" s="50">
        <f t="shared" si="15"/>
        <v>8914.14</v>
      </c>
      <c r="E52" s="50">
        <f t="shared" si="15"/>
        <v>8153.87</v>
      </c>
      <c r="F52" s="50">
        <f t="shared" si="15"/>
        <v>7960.130000000001</v>
      </c>
      <c r="G52" s="50">
        <f t="shared" si="15"/>
        <v>9632.4</v>
      </c>
      <c r="H52" s="50">
        <f t="shared" si="15"/>
        <v>10541.47</v>
      </c>
      <c r="I52" s="50">
        <f t="shared" si="15"/>
        <v>13083.27</v>
      </c>
      <c r="J52" s="50">
        <f t="shared" si="15"/>
        <v>17781.519999999997</v>
      </c>
      <c r="K52" s="50">
        <f t="shared" si="15"/>
        <v>21015.120000000003</v>
      </c>
      <c r="L52" s="50">
        <f t="shared" si="15"/>
        <v>25859.22</v>
      </c>
      <c r="M52" s="51">
        <f t="shared" si="14"/>
        <v>23677.322349348076</v>
      </c>
      <c r="N52" s="51">
        <f t="shared" si="14"/>
        <v>25623.917478803894</v>
      </c>
      <c r="O52" s="51">
        <f t="shared" si="14"/>
        <v>27570.512608259742</v>
      </c>
      <c r="P52" s="51">
        <f t="shared" si="14"/>
        <v>29517.10773771556</v>
      </c>
      <c r="Q52" s="51">
        <f t="shared" si="14"/>
        <v>31463.702867171407</v>
      </c>
    </row>
    <row r="53" spans="1:17" ht="14.25" customHeight="1" x14ac:dyDescent="0.3">
      <c r="B53" s="11" t="s">
        <v>102</v>
      </c>
      <c r="C53" s="40">
        <f>Data!B67</f>
        <v>1260.18</v>
      </c>
      <c r="D53" s="40">
        <f>Data!C67</f>
        <v>1043.3900000000001</v>
      </c>
      <c r="E53" s="40">
        <f>Data!D67</f>
        <v>1517.33</v>
      </c>
      <c r="F53" s="40">
        <f>Data!E67</f>
        <v>745.53</v>
      </c>
      <c r="G53" s="40">
        <f>Data!F67</f>
        <v>911.23</v>
      </c>
      <c r="H53" s="40">
        <f>Data!G67</f>
        <v>1003.09</v>
      </c>
      <c r="I53" s="40">
        <f>Data!H67</f>
        <v>1029.0899999999999</v>
      </c>
      <c r="J53" s="40">
        <f>Data!I67</f>
        <v>1918.12</v>
      </c>
      <c r="K53" s="40">
        <f>Data!J67</f>
        <v>2403.6</v>
      </c>
      <c r="L53" s="40">
        <f>Data!K67</f>
        <v>4058.11</v>
      </c>
      <c r="M53" s="34">
        <f t="shared" si="14"/>
        <v>2843.6522255138225</v>
      </c>
      <c r="N53" s="34">
        <f t="shared" si="14"/>
        <v>3071.6632323908671</v>
      </c>
      <c r="O53" s="34">
        <f t="shared" si="14"/>
        <v>3299.6742392679153</v>
      </c>
      <c r="P53" s="34">
        <f t="shared" si="14"/>
        <v>3527.6852461449598</v>
      </c>
      <c r="Q53" s="34">
        <f t="shared" si="14"/>
        <v>3755.6962530220044</v>
      </c>
    </row>
    <row r="54" spans="1:17" ht="14.25" customHeight="1" x14ac:dyDescent="0.3">
      <c r="B54" s="11" t="s">
        <v>54</v>
      </c>
      <c r="C54" s="40">
        <f>Data!B68</f>
        <v>0.18</v>
      </c>
      <c r="D54" s="40">
        <f>Data!C68</f>
        <v>0</v>
      </c>
      <c r="E54" s="40">
        <f>Data!D68</f>
        <v>0</v>
      </c>
      <c r="F54" s="40">
        <f>Data!E68</f>
        <v>0</v>
      </c>
      <c r="G54" s="40">
        <f>Data!F68</f>
        <v>0</v>
      </c>
      <c r="H54" s="40">
        <f>Data!G68</f>
        <v>0</v>
      </c>
      <c r="I54" s="40">
        <f>Data!H68</f>
        <v>0</v>
      </c>
      <c r="J54" s="40">
        <f>Data!I68</f>
        <v>0</v>
      </c>
      <c r="K54" s="40">
        <f>Data!J68</f>
        <v>0</v>
      </c>
      <c r="L54" s="40">
        <f>Data!K68</f>
        <v>0</v>
      </c>
      <c r="M54" s="34">
        <v>0</v>
      </c>
      <c r="N54" s="34">
        <v>0</v>
      </c>
      <c r="O54" s="34">
        <v>0</v>
      </c>
      <c r="P54" s="34">
        <v>0</v>
      </c>
      <c r="Q54" s="34">
        <v>0</v>
      </c>
    </row>
    <row r="55" spans="1:17" ht="14.25" customHeight="1" x14ac:dyDescent="0.3">
      <c r="B55" s="11" t="s">
        <v>103</v>
      </c>
      <c r="C55" s="40">
        <f>Data!B69</f>
        <v>462.52</v>
      </c>
      <c r="D55" s="40">
        <f>Data!C69</f>
        <v>453.72</v>
      </c>
      <c r="E55" s="40">
        <f>Data!D69</f>
        <v>689.07</v>
      </c>
      <c r="F55" s="40">
        <f>Data!E69</f>
        <v>1377.95</v>
      </c>
      <c r="G55" s="40">
        <f>Data!F69</f>
        <v>3497.78</v>
      </c>
      <c r="H55" s="40">
        <f>Data!G69</f>
        <v>5315.25</v>
      </c>
      <c r="I55" s="40">
        <f>Data!H69</f>
        <v>8836.91</v>
      </c>
      <c r="J55" s="40">
        <f>Data!I69</f>
        <v>12071.31</v>
      </c>
      <c r="K55" s="40">
        <f>Data!J69</f>
        <v>10497.73</v>
      </c>
      <c r="L55" s="40">
        <f>Data!K69</f>
        <v>13483.46</v>
      </c>
      <c r="M55" s="34">
        <f t="shared" ref="M55:Q56" si="16">_xlfn.FORECAST.LINEAR(M$3,$C55:$L55,$C$3:$L$3)</f>
        <v>14620.237101433304</v>
      </c>
      <c r="N55" s="34">
        <f t="shared" si="16"/>
        <v>16247.002594101068</v>
      </c>
      <c r="O55" s="34">
        <f t="shared" si="16"/>
        <v>17873.768086768803</v>
      </c>
      <c r="P55" s="34">
        <f t="shared" si="16"/>
        <v>19500.533579436538</v>
      </c>
      <c r="Q55" s="34">
        <f t="shared" si="16"/>
        <v>21127.299072104273</v>
      </c>
    </row>
    <row r="56" spans="1:17" ht="14.25" customHeight="1" x14ac:dyDescent="0.3">
      <c r="B56" s="49" t="s">
        <v>104</v>
      </c>
      <c r="C56" s="50">
        <f t="shared" ref="C56:L56" si="17">SUM(C53:C55)</f>
        <v>1722.88</v>
      </c>
      <c r="D56" s="50">
        <f t="shared" si="17"/>
        <v>1497.1100000000001</v>
      </c>
      <c r="E56" s="50">
        <f t="shared" si="17"/>
        <v>2206.4</v>
      </c>
      <c r="F56" s="50">
        <f t="shared" si="17"/>
        <v>2123.48</v>
      </c>
      <c r="G56" s="50">
        <f t="shared" si="17"/>
        <v>4409.01</v>
      </c>
      <c r="H56" s="50">
        <f t="shared" si="17"/>
        <v>6318.34</v>
      </c>
      <c r="I56" s="50">
        <f t="shared" si="17"/>
        <v>9866</v>
      </c>
      <c r="J56" s="50">
        <f t="shared" si="17"/>
        <v>13989.43</v>
      </c>
      <c r="K56" s="50">
        <f t="shared" si="17"/>
        <v>12901.33</v>
      </c>
      <c r="L56" s="50">
        <f t="shared" si="17"/>
        <v>17541.57</v>
      </c>
      <c r="M56" s="51">
        <f t="shared" si="16"/>
        <v>17463.853342480259</v>
      </c>
      <c r="N56" s="51">
        <f t="shared" si="16"/>
        <v>19318.620031554368</v>
      </c>
      <c r="O56" s="51">
        <f t="shared" si="16"/>
        <v>21173.386720628449</v>
      </c>
      <c r="P56" s="51">
        <f t="shared" si="16"/>
        <v>23028.153409702529</v>
      </c>
      <c r="Q56" s="51">
        <f t="shared" si="16"/>
        <v>24882.920098776609</v>
      </c>
    </row>
    <row r="57" spans="1:17" ht="14.25" customHeight="1" x14ac:dyDescent="0.3">
      <c r="B57" s="52"/>
      <c r="C57" s="53"/>
      <c r="D57" s="53"/>
      <c r="E57" s="53"/>
      <c r="F57" s="53"/>
      <c r="G57" s="53"/>
      <c r="H57" s="53"/>
      <c r="I57" s="53"/>
      <c r="J57" s="53"/>
      <c r="K57" s="53"/>
      <c r="L57" s="53"/>
    </row>
    <row r="58" spans="1:17" ht="14.25" customHeight="1" x14ac:dyDescent="0.3">
      <c r="B58" s="46" t="s">
        <v>105</v>
      </c>
      <c r="C58" s="47">
        <f t="shared" ref="C58:L58" si="18">C52+C56</f>
        <v>8438.9000000000015</v>
      </c>
      <c r="D58" s="47">
        <f t="shared" si="18"/>
        <v>10411.25</v>
      </c>
      <c r="E58" s="47">
        <f t="shared" si="18"/>
        <v>10360.27</v>
      </c>
      <c r="F58" s="47">
        <f t="shared" si="18"/>
        <v>10083.61</v>
      </c>
      <c r="G58" s="47">
        <f t="shared" si="18"/>
        <v>14041.41</v>
      </c>
      <c r="H58" s="47">
        <f t="shared" si="18"/>
        <v>16859.809999999998</v>
      </c>
      <c r="I58" s="47">
        <f t="shared" si="18"/>
        <v>22949.27</v>
      </c>
      <c r="J58" s="47">
        <f t="shared" si="18"/>
        <v>31770.949999999997</v>
      </c>
      <c r="K58" s="47">
        <f t="shared" si="18"/>
        <v>33916.450000000004</v>
      </c>
      <c r="L58" s="47">
        <f t="shared" si="18"/>
        <v>43400.79</v>
      </c>
      <c r="M58" s="48">
        <f>_xlfn.FORECAST.LINEAR(M$3,$C58:$L58,$C$3:$L$3)</f>
        <v>41141.175691828365</v>
      </c>
      <c r="N58" s="48">
        <f>_xlfn.FORECAST.LINEAR(N$3,$C58:$L58,$C$3:$L$3)</f>
        <v>44942.537510358321</v>
      </c>
      <c r="O58" s="48">
        <f>_xlfn.FORECAST.LINEAR(O$3,$C58:$L58,$C$3:$L$3)</f>
        <v>48743.899328888219</v>
      </c>
      <c r="P58" s="48">
        <f>_xlfn.FORECAST.LINEAR(P$3,$C58:$L58,$C$3:$L$3)</f>
        <v>52545.261147418118</v>
      </c>
      <c r="Q58" s="48">
        <f>_xlfn.FORECAST.LINEAR(Q$3,$C58:$L58,$C$3:$L$3)</f>
        <v>56346.622965948074</v>
      </c>
    </row>
    <row r="60" spans="1:17" ht="14.25" customHeight="1" x14ac:dyDescent="0.3">
      <c r="A60" s="5" t="s">
        <v>75</v>
      </c>
      <c r="B60" s="30" t="s">
        <v>106</v>
      </c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</row>
    <row r="61" spans="1:17" ht="14.25" customHeight="1" x14ac:dyDescent="0.3">
      <c r="A61" s="5"/>
      <c r="B61" s="52"/>
      <c r="C61" s="55"/>
      <c r="D61" s="55"/>
      <c r="E61" s="55"/>
      <c r="F61" s="55"/>
      <c r="G61" s="55"/>
      <c r="H61" s="55"/>
      <c r="I61" s="55"/>
      <c r="J61" s="55"/>
      <c r="K61" s="55"/>
      <c r="L61" s="55"/>
    </row>
    <row r="62" spans="1:17" ht="14.25" customHeight="1" x14ac:dyDescent="0.3">
      <c r="B62" s="56" t="s">
        <v>107</v>
      </c>
    </row>
    <row r="63" spans="1:17" ht="14.25" customHeight="1" x14ac:dyDescent="0.3">
      <c r="B63" s="41" t="s">
        <v>108</v>
      </c>
      <c r="C63" s="57">
        <v>6025</v>
      </c>
      <c r="D63" s="57">
        <v>6512</v>
      </c>
      <c r="E63" s="57">
        <v>7485</v>
      </c>
      <c r="F63" s="57">
        <v>8909</v>
      </c>
      <c r="G63" s="57">
        <v>9723</v>
      </c>
      <c r="H63" s="57">
        <v>11672</v>
      </c>
      <c r="I63" s="57">
        <v>12829</v>
      </c>
      <c r="J63" s="57">
        <v>14089</v>
      </c>
      <c r="K63" s="57">
        <v>14537</v>
      </c>
      <c r="L63" s="57">
        <v>14942</v>
      </c>
      <c r="M63" s="34">
        <f t="shared" ref="M63:Q74" si="19">_xlfn.FORECAST.LINEAR(M$3,$C63:$L63,$C$3:$L$3)</f>
        <v>16776.360237074827</v>
      </c>
      <c r="N63" s="34">
        <f t="shared" si="19"/>
        <v>17885.636804927621</v>
      </c>
      <c r="O63" s="34">
        <f t="shared" si="19"/>
        <v>18994.913372780386</v>
      </c>
      <c r="P63" s="34">
        <f t="shared" si="19"/>
        <v>20104.18994063318</v>
      </c>
      <c r="Q63" s="34">
        <f t="shared" si="19"/>
        <v>21213.466508485944</v>
      </c>
    </row>
    <row r="64" spans="1:17" ht="14.25" customHeight="1" x14ac:dyDescent="0.3">
      <c r="B64" s="41" t="s">
        <v>102</v>
      </c>
      <c r="C64" s="57">
        <v>-257</v>
      </c>
      <c r="D64" s="57">
        <v>173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34">
        <f t="shared" si="19"/>
        <v>28.315751433132277</v>
      </c>
      <c r="N64" s="34">
        <f t="shared" si="19"/>
        <v>34.988018932805289</v>
      </c>
      <c r="O64" s="34">
        <f t="shared" si="19"/>
        <v>41.660286432478301</v>
      </c>
      <c r="P64" s="34">
        <f t="shared" si="19"/>
        <v>48.332553932151427</v>
      </c>
      <c r="Q64" s="34">
        <f t="shared" si="19"/>
        <v>55.004821431824439</v>
      </c>
    </row>
    <row r="65" spans="2:17" ht="14.25" customHeight="1" x14ac:dyDescent="0.3">
      <c r="B65" s="41" t="s">
        <v>54</v>
      </c>
      <c r="C65" s="57">
        <v>89</v>
      </c>
      <c r="D65" s="57">
        <v>37</v>
      </c>
      <c r="E65" s="57">
        <v>-146</v>
      </c>
      <c r="F65" s="57">
        <v>-195</v>
      </c>
      <c r="G65" s="57">
        <v>-331</v>
      </c>
      <c r="H65" s="57">
        <v>-543</v>
      </c>
      <c r="I65" s="57">
        <v>-758</v>
      </c>
      <c r="J65" s="57">
        <v>-339</v>
      </c>
      <c r="K65" s="57">
        <v>74</v>
      </c>
      <c r="L65" s="57">
        <v>-584</v>
      </c>
      <c r="M65" s="34">
        <f t="shared" si="19"/>
        <v>-558.29253430175231</v>
      </c>
      <c r="N65" s="34">
        <f t="shared" si="19"/>
        <v>-610.75595228539169</v>
      </c>
      <c r="O65" s="34">
        <f t="shared" si="19"/>
        <v>-663.21937026903106</v>
      </c>
      <c r="P65" s="34">
        <f t="shared" si="19"/>
        <v>-715.68278825266952</v>
      </c>
      <c r="Q65" s="34">
        <f t="shared" si="19"/>
        <v>-768.1462062363089</v>
      </c>
    </row>
    <row r="66" spans="2:17" ht="14.25" customHeight="1" x14ac:dyDescent="0.3">
      <c r="B66" s="41" t="s">
        <v>109</v>
      </c>
      <c r="C66" s="57">
        <v>164</v>
      </c>
      <c r="D66" s="57">
        <v>501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34">
        <f t="shared" si="19"/>
        <v>-99.572537828791155</v>
      </c>
      <c r="N66" s="34">
        <f t="shared" si="19"/>
        <v>-129.7525110961592</v>
      </c>
      <c r="O66" s="34">
        <f t="shared" si="19"/>
        <v>-159.93248436352724</v>
      </c>
      <c r="P66" s="34">
        <f t="shared" si="19"/>
        <v>-190.11245763089528</v>
      </c>
      <c r="Q66" s="34">
        <f t="shared" si="19"/>
        <v>-220.29243089826332</v>
      </c>
    </row>
    <row r="67" spans="2:17" ht="14.25" customHeight="1" x14ac:dyDescent="0.3">
      <c r="B67" s="41" t="s">
        <v>110</v>
      </c>
      <c r="C67" s="57">
        <v>0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34">
        <f t="shared" si="19"/>
        <v>0</v>
      </c>
      <c r="N67" s="34">
        <f t="shared" si="19"/>
        <v>0</v>
      </c>
      <c r="O67" s="34">
        <f t="shared" si="19"/>
        <v>0</v>
      </c>
      <c r="P67" s="34">
        <f t="shared" si="19"/>
        <v>0</v>
      </c>
      <c r="Q67" s="34">
        <f t="shared" si="19"/>
        <v>0</v>
      </c>
    </row>
    <row r="68" spans="2:17" ht="14.25" customHeight="1" x14ac:dyDescent="0.3">
      <c r="B68" s="41" t="s">
        <v>111</v>
      </c>
      <c r="C68" s="57">
        <v>0</v>
      </c>
      <c r="D68" s="57">
        <v>-46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34">
        <f t="shared" si="19"/>
        <v>6.1321112805428868</v>
      </c>
      <c r="N68" s="34">
        <f t="shared" si="19"/>
        <v>8.082432723111026</v>
      </c>
      <c r="O68" s="34">
        <f t="shared" si="19"/>
        <v>10.032754165679194</v>
      </c>
      <c r="P68" s="34">
        <f t="shared" si="19"/>
        <v>11.983075608247361</v>
      </c>
      <c r="Q68" s="34">
        <f t="shared" si="19"/>
        <v>13.933397050815529</v>
      </c>
    </row>
    <row r="69" spans="2:17" ht="14.25" customHeight="1" x14ac:dyDescent="0.3">
      <c r="B69" s="41" t="s">
        <v>112</v>
      </c>
      <c r="C69" s="57">
        <v>-77</v>
      </c>
      <c r="D69" s="57">
        <v>-99</v>
      </c>
      <c r="E69" s="57">
        <v>982</v>
      </c>
      <c r="F69" s="57">
        <v>-147</v>
      </c>
      <c r="G69" s="57">
        <v>742</v>
      </c>
      <c r="H69" s="57">
        <v>442</v>
      </c>
      <c r="I69" s="57">
        <v>-242</v>
      </c>
      <c r="J69" s="57">
        <v>-621</v>
      </c>
      <c r="K69" s="57">
        <v>1239</v>
      </c>
      <c r="L69" s="57">
        <v>-204</v>
      </c>
      <c r="M69" s="34">
        <f t="shared" si="19"/>
        <v>188.87305820337144</v>
      </c>
      <c r="N69" s="34">
        <f t="shared" si="19"/>
        <v>186.57839364983926</v>
      </c>
      <c r="O69" s="34">
        <f t="shared" si="19"/>
        <v>184.28372909630701</v>
      </c>
      <c r="P69" s="34">
        <f t="shared" si="19"/>
        <v>181.98906454277483</v>
      </c>
      <c r="Q69" s="34">
        <f t="shared" si="19"/>
        <v>179.69439998924264</v>
      </c>
    </row>
    <row r="70" spans="2:17" ht="14.25" customHeight="1" x14ac:dyDescent="0.3">
      <c r="B70" s="41" t="s">
        <v>113</v>
      </c>
      <c r="C70" s="57">
        <v>-81</v>
      </c>
      <c r="D70" s="57">
        <v>566</v>
      </c>
      <c r="E70" s="57">
        <v>836</v>
      </c>
      <c r="F70" s="57">
        <v>-342</v>
      </c>
      <c r="G70" s="57">
        <v>411</v>
      </c>
      <c r="H70" s="57">
        <v>-101</v>
      </c>
      <c r="I70" s="57">
        <v>-1000</v>
      </c>
      <c r="J70" s="57">
        <v>-960</v>
      </c>
      <c r="K70" s="57">
        <v>1313</v>
      </c>
      <c r="L70" s="57">
        <v>-788</v>
      </c>
      <c r="M70" s="34">
        <f t="shared" si="19"/>
        <v>-434.54415121349666</v>
      </c>
      <c r="N70" s="34">
        <f t="shared" si="19"/>
        <v>-510.85961807579406</v>
      </c>
      <c r="O70" s="34">
        <f t="shared" si="19"/>
        <v>-587.17508493809328</v>
      </c>
      <c r="P70" s="34">
        <f t="shared" si="19"/>
        <v>-663.49055180039068</v>
      </c>
      <c r="Q70" s="34">
        <f t="shared" si="19"/>
        <v>-739.80601866268989</v>
      </c>
    </row>
    <row r="71" spans="2:17" ht="14.25" customHeight="1" x14ac:dyDescent="0.3">
      <c r="B71" s="41" t="s">
        <v>114</v>
      </c>
      <c r="C71" s="57">
        <v>-1765</v>
      </c>
      <c r="D71" s="57">
        <v>-1859</v>
      </c>
      <c r="E71" s="57">
        <v>-2264</v>
      </c>
      <c r="F71" s="57">
        <v>-2767</v>
      </c>
      <c r="G71" s="57">
        <v>-2505</v>
      </c>
      <c r="H71" s="57">
        <v>-2407</v>
      </c>
      <c r="I71" s="57">
        <v>-2784</v>
      </c>
      <c r="J71" s="57">
        <v>-3138</v>
      </c>
      <c r="K71" s="57">
        <v>-381</v>
      </c>
      <c r="L71" s="57">
        <v>-2268</v>
      </c>
      <c r="M71" s="34">
        <f t="shared" si="19"/>
        <v>-2163.9595795845485</v>
      </c>
      <c r="N71" s="34">
        <f t="shared" si="19"/>
        <v>-2154.9021967358358</v>
      </c>
      <c r="O71" s="34">
        <f t="shared" si="19"/>
        <v>-2145.8448138871227</v>
      </c>
      <c r="P71" s="34">
        <f t="shared" si="19"/>
        <v>-2136.7874310384095</v>
      </c>
      <c r="Q71" s="34">
        <f t="shared" si="19"/>
        <v>-2127.7300481896964</v>
      </c>
    </row>
    <row r="72" spans="2:17" ht="14.25" customHeight="1" x14ac:dyDescent="0.3">
      <c r="B72" s="41" t="s">
        <v>115</v>
      </c>
      <c r="C72" s="57">
        <v>-8</v>
      </c>
      <c r="D72" s="57">
        <v>-21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34">
        <f t="shared" si="19"/>
        <v>4.3987517442694752</v>
      </c>
      <c r="N72" s="34">
        <f t="shared" si="19"/>
        <v>5.7251368011070838</v>
      </c>
      <c r="O72" s="34">
        <f t="shared" si="19"/>
        <v>7.0515218579447208</v>
      </c>
      <c r="P72" s="34">
        <f t="shared" si="19"/>
        <v>8.3779069147823293</v>
      </c>
      <c r="Q72" s="34">
        <f t="shared" si="19"/>
        <v>9.7042919716199378</v>
      </c>
    </row>
    <row r="73" spans="2:17" ht="15" customHeight="1" x14ac:dyDescent="0.3">
      <c r="B73" s="41" t="s">
        <v>116</v>
      </c>
      <c r="C73" s="57">
        <v>0</v>
      </c>
      <c r="D73" s="57">
        <v>-13</v>
      </c>
      <c r="E73" s="57">
        <v>2</v>
      </c>
      <c r="F73" s="57">
        <v>0</v>
      </c>
      <c r="G73" s="57">
        <v>-6</v>
      </c>
      <c r="H73" s="57">
        <v>-1</v>
      </c>
      <c r="I73" s="57">
        <v>3</v>
      </c>
      <c r="J73" s="57">
        <v>0</v>
      </c>
      <c r="K73" s="57">
        <v>0</v>
      </c>
      <c r="L73" s="57">
        <v>0</v>
      </c>
      <c r="M73" s="34">
        <f t="shared" si="19"/>
        <v>1.6658368766131844</v>
      </c>
      <c r="N73" s="34">
        <f t="shared" si="19"/>
        <v>2.2411569960873265</v>
      </c>
      <c r="O73" s="34">
        <f t="shared" si="19"/>
        <v>2.8164771155614687</v>
      </c>
      <c r="P73" s="34">
        <f t="shared" si="19"/>
        <v>3.3917972350356109</v>
      </c>
      <c r="Q73" s="34">
        <f t="shared" si="19"/>
        <v>3.9671173545097531</v>
      </c>
    </row>
    <row r="74" spans="2:17" s="5" customFormat="1" ht="14.25" customHeight="1" x14ac:dyDescent="0.3">
      <c r="B74" s="58" t="s">
        <v>117</v>
      </c>
      <c r="C74" s="59">
        <f t="shared" ref="C74:L74" si="20">SUM(C63:C73)</f>
        <v>4090</v>
      </c>
      <c r="D74" s="59">
        <f t="shared" si="20"/>
        <v>5751</v>
      </c>
      <c r="E74" s="59">
        <f t="shared" si="20"/>
        <v>6895</v>
      </c>
      <c r="F74" s="59">
        <f t="shared" si="20"/>
        <v>5458</v>
      </c>
      <c r="G74" s="59">
        <f t="shared" si="20"/>
        <v>8034</v>
      </c>
      <c r="H74" s="59">
        <f t="shared" si="20"/>
        <v>9062</v>
      </c>
      <c r="I74" s="59">
        <f t="shared" si="20"/>
        <v>8048</v>
      </c>
      <c r="J74" s="59">
        <f t="shared" si="20"/>
        <v>9031</v>
      </c>
      <c r="K74" s="59">
        <f t="shared" si="20"/>
        <v>16782</v>
      </c>
      <c r="L74" s="59">
        <f t="shared" si="20"/>
        <v>11098</v>
      </c>
      <c r="M74" s="60">
        <f t="shared" si="19"/>
        <v>13749.376943684154</v>
      </c>
      <c r="N74" s="60">
        <f t="shared" si="19"/>
        <v>14716.98166583736</v>
      </c>
      <c r="O74" s="60">
        <f t="shared" si="19"/>
        <v>15684.586387990566</v>
      </c>
      <c r="P74" s="60">
        <f t="shared" si="19"/>
        <v>16652.191110143787</v>
      </c>
      <c r="Q74" s="60">
        <f t="shared" si="19"/>
        <v>17619.795832296993</v>
      </c>
    </row>
    <row r="75" spans="2:17" ht="14.25" customHeight="1" x14ac:dyDescent="0.3"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32"/>
      <c r="N75" s="32"/>
      <c r="O75" s="32"/>
      <c r="P75" s="32"/>
      <c r="Q75" s="32"/>
    </row>
    <row r="76" spans="2:17" ht="14.25" customHeight="1" x14ac:dyDescent="0.3">
      <c r="B76" s="52" t="s">
        <v>118</v>
      </c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32"/>
      <c r="N76" s="32"/>
      <c r="O76" s="32"/>
      <c r="P76" s="32"/>
      <c r="Q76" s="32"/>
    </row>
    <row r="77" spans="2:17" ht="14.25" customHeight="1" x14ac:dyDescent="0.3">
      <c r="B77" s="41" t="s">
        <v>119</v>
      </c>
      <c r="C77" s="57">
        <v>-810</v>
      </c>
      <c r="D77" s="57">
        <v>-1113</v>
      </c>
      <c r="E77" s="57">
        <v>-895</v>
      </c>
      <c r="F77" s="57">
        <v>-767</v>
      </c>
      <c r="G77" s="57">
        <v>-862</v>
      </c>
      <c r="H77" s="57">
        <v>-4163</v>
      </c>
      <c r="I77" s="57">
        <v>-1228</v>
      </c>
      <c r="J77" s="57">
        <v>-1192</v>
      </c>
      <c r="K77" s="57">
        <v>-1477</v>
      </c>
      <c r="L77" s="57">
        <v>-1275</v>
      </c>
      <c r="M77" s="34">
        <f t="shared" ref="M77:Q88" si="21">_xlfn.FORECAST.LINEAR(M$3,$C77:$L77,$C$3:$L$3)</f>
        <v>-1808.0868334178531</v>
      </c>
      <c r="N77" s="34">
        <f t="shared" si="21"/>
        <v>-1886.2091606259755</v>
      </c>
      <c r="O77" s="34">
        <f t="shared" si="21"/>
        <v>-1964.3314878340998</v>
      </c>
      <c r="P77" s="34">
        <f t="shared" si="21"/>
        <v>-2042.4538150422222</v>
      </c>
      <c r="Q77" s="34">
        <f t="shared" si="21"/>
        <v>-2120.5761422503465</v>
      </c>
    </row>
    <row r="78" spans="2:17" ht="14.25" customHeight="1" x14ac:dyDescent="0.3">
      <c r="B78" s="41" t="s">
        <v>120</v>
      </c>
      <c r="C78" s="57">
        <v>99</v>
      </c>
      <c r="D78" s="57">
        <v>176</v>
      </c>
      <c r="E78" s="57">
        <v>32</v>
      </c>
      <c r="F78" s="57">
        <v>13</v>
      </c>
      <c r="G78" s="57">
        <v>52</v>
      </c>
      <c r="H78" s="57">
        <v>97</v>
      </c>
      <c r="I78" s="57">
        <v>175</v>
      </c>
      <c r="J78" s="57">
        <v>181</v>
      </c>
      <c r="K78" s="57">
        <v>20</v>
      </c>
      <c r="L78" s="57">
        <v>13</v>
      </c>
      <c r="M78" s="34">
        <f t="shared" si="21"/>
        <v>66.133982274038146</v>
      </c>
      <c r="N78" s="34">
        <f t="shared" si="21"/>
        <v>62.560122941214615</v>
      </c>
      <c r="O78" s="34">
        <f t="shared" si="21"/>
        <v>58.986263608391084</v>
      </c>
      <c r="P78" s="34">
        <f t="shared" si="21"/>
        <v>55.412404275567496</v>
      </c>
      <c r="Q78" s="34">
        <f t="shared" si="21"/>
        <v>51.838544942743965</v>
      </c>
    </row>
    <row r="79" spans="2:17" ht="14.25" customHeight="1" x14ac:dyDescent="0.3">
      <c r="B79" s="41" t="s">
        <v>121</v>
      </c>
      <c r="C79" s="57">
        <v>-20666</v>
      </c>
      <c r="D79" s="57">
        <v>-31214</v>
      </c>
      <c r="E79" s="57">
        <v>-51855</v>
      </c>
      <c r="F79" s="57">
        <v>-74365</v>
      </c>
      <c r="G79" s="57">
        <v>-36090</v>
      </c>
      <c r="H79" s="57">
        <v>-39920</v>
      </c>
      <c r="I79" s="57">
        <v>-48522</v>
      </c>
      <c r="J79" s="57">
        <v>-22649</v>
      </c>
      <c r="K79" s="57">
        <v>-21337</v>
      </c>
      <c r="L79" s="57">
        <v>-22957</v>
      </c>
      <c r="M79" s="34">
        <f t="shared" si="21"/>
        <v>-28017.163795268716</v>
      </c>
      <c r="N79" s="34">
        <f t="shared" si="21"/>
        <v>-26392.45743991551</v>
      </c>
      <c r="O79" s="34">
        <f t="shared" si="21"/>
        <v>-24767.751084562304</v>
      </c>
      <c r="P79" s="34">
        <f t="shared" si="21"/>
        <v>-23143.044729209098</v>
      </c>
      <c r="Q79" s="34">
        <f t="shared" si="21"/>
        <v>-21518.338373855891</v>
      </c>
    </row>
    <row r="80" spans="2:17" ht="14.25" customHeight="1" x14ac:dyDescent="0.3">
      <c r="B80" s="41" t="s">
        <v>122</v>
      </c>
      <c r="C80" s="57">
        <v>20937</v>
      </c>
      <c r="D80" s="57">
        <v>30083</v>
      </c>
      <c r="E80" s="57">
        <v>52897</v>
      </c>
      <c r="F80" s="57">
        <v>74691</v>
      </c>
      <c r="G80" s="57">
        <v>37690</v>
      </c>
      <c r="H80" s="57">
        <v>38486</v>
      </c>
      <c r="I80" s="57">
        <v>47786</v>
      </c>
      <c r="J80" s="57">
        <v>23462</v>
      </c>
      <c r="K80" s="57">
        <v>19846</v>
      </c>
      <c r="L80" s="57">
        <v>23987</v>
      </c>
      <c r="M80" s="34">
        <f t="shared" si="21"/>
        <v>27944.486023697944</v>
      </c>
      <c r="N80" s="34">
        <f t="shared" si="21"/>
        <v>26301.302005101868</v>
      </c>
      <c r="O80" s="34">
        <f t="shared" si="21"/>
        <v>24658.117986505764</v>
      </c>
      <c r="P80" s="34">
        <f t="shared" si="21"/>
        <v>23014.933967909659</v>
      </c>
      <c r="Q80" s="34">
        <f t="shared" si="21"/>
        <v>21371.749949313584</v>
      </c>
    </row>
    <row r="81" spans="2:17" ht="14.25" customHeight="1" x14ac:dyDescent="0.3">
      <c r="B81" s="41" t="s">
        <v>123</v>
      </c>
      <c r="C81" s="57">
        <v>315</v>
      </c>
      <c r="D81" s="57">
        <v>264</v>
      </c>
      <c r="E81" s="57">
        <v>297</v>
      </c>
      <c r="F81" s="57">
        <v>289</v>
      </c>
      <c r="G81" s="57">
        <v>351</v>
      </c>
      <c r="H81" s="57">
        <v>277</v>
      </c>
      <c r="I81" s="57">
        <v>161</v>
      </c>
      <c r="J81" s="57">
        <v>259</v>
      </c>
      <c r="K81" s="57">
        <v>425</v>
      </c>
      <c r="L81" s="57">
        <v>835</v>
      </c>
      <c r="M81" s="34">
        <f t="shared" si="21"/>
        <v>519.22993368811785</v>
      </c>
      <c r="N81" s="34">
        <f t="shared" si="21"/>
        <v>550.47435778379258</v>
      </c>
      <c r="O81" s="34">
        <f t="shared" si="21"/>
        <v>581.71878187946777</v>
      </c>
      <c r="P81" s="34">
        <f t="shared" si="21"/>
        <v>612.9632059751425</v>
      </c>
      <c r="Q81" s="34">
        <f t="shared" si="21"/>
        <v>644.20763007081723</v>
      </c>
    </row>
    <row r="82" spans="2:17" ht="14.25" customHeight="1" x14ac:dyDescent="0.3">
      <c r="B82" s="41" t="s">
        <v>124</v>
      </c>
      <c r="C82" s="57">
        <v>33</v>
      </c>
      <c r="D82" s="57">
        <v>14</v>
      </c>
      <c r="E82" s="57">
        <v>0</v>
      </c>
      <c r="F82" s="57">
        <v>1</v>
      </c>
      <c r="G82" s="57">
        <v>1</v>
      </c>
      <c r="H82" s="57">
        <v>1</v>
      </c>
      <c r="I82" s="57">
        <v>1</v>
      </c>
      <c r="J82" s="57">
        <v>2</v>
      </c>
      <c r="K82" s="57">
        <v>3</v>
      </c>
      <c r="L82" s="57">
        <v>0</v>
      </c>
      <c r="M82" s="34">
        <f t="shared" si="21"/>
        <v>-6.5301270347425202</v>
      </c>
      <c r="N82" s="34">
        <f t="shared" si="21"/>
        <v>-8.7345066054077165</v>
      </c>
      <c r="O82" s="34">
        <f t="shared" si="21"/>
        <v>-10.938886176072913</v>
      </c>
      <c r="P82" s="34">
        <f t="shared" si="21"/>
        <v>-13.143265746738109</v>
      </c>
      <c r="Q82" s="34">
        <f t="shared" si="21"/>
        <v>-15.347645317403305</v>
      </c>
    </row>
    <row r="83" spans="2:17" ht="14.25" customHeight="1" x14ac:dyDescent="0.3">
      <c r="B83" s="41" t="s">
        <v>125</v>
      </c>
      <c r="C83" s="57">
        <v>0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34">
        <f t="shared" si="21"/>
        <v>0</v>
      </c>
      <c r="N83" s="34">
        <f t="shared" si="21"/>
        <v>0</v>
      </c>
      <c r="O83" s="34">
        <f t="shared" si="21"/>
        <v>0</v>
      </c>
      <c r="P83" s="34">
        <f t="shared" si="21"/>
        <v>0</v>
      </c>
      <c r="Q83" s="34">
        <f t="shared" si="21"/>
        <v>0</v>
      </c>
    </row>
    <row r="84" spans="2:17" ht="14.25" customHeight="1" x14ac:dyDescent="0.3">
      <c r="B84" s="41" t="s">
        <v>126</v>
      </c>
      <c r="C84" s="57">
        <v>0</v>
      </c>
      <c r="D84" s="57">
        <v>0</v>
      </c>
      <c r="E84" s="57">
        <v>0</v>
      </c>
      <c r="F84" s="57">
        <v>0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34">
        <f t="shared" si="21"/>
        <v>0</v>
      </c>
      <c r="N84" s="34">
        <f t="shared" si="21"/>
        <v>0</v>
      </c>
      <c r="O84" s="34">
        <f t="shared" si="21"/>
        <v>0</v>
      </c>
      <c r="P84" s="34">
        <f t="shared" si="21"/>
        <v>0</v>
      </c>
      <c r="Q84" s="34">
        <f t="shared" si="21"/>
        <v>0</v>
      </c>
    </row>
    <row r="85" spans="2:17" ht="14.25" customHeight="1" x14ac:dyDescent="0.3">
      <c r="B85" s="41" t="s">
        <v>127</v>
      </c>
      <c r="C85" s="57">
        <v>161</v>
      </c>
      <c r="D85" s="57">
        <v>20</v>
      </c>
      <c r="E85" s="57">
        <v>73</v>
      </c>
      <c r="F85" s="57">
        <v>0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34">
        <f t="shared" si="21"/>
        <v>-39.721329334023039</v>
      </c>
      <c r="N85" s="34">
        <f t="shared" si="21"/>
        <v>-51.555675964303646</v>
      </c>
      <c r="O85" s="34">
        <f t="shared" si="21"/>
        <v>-63.390022594584252</v>
      </c>
      <c r="P85" s="34">
        <f t="shared" si="21"/>
        <v>-75.224369224864859</v>
      </c>
      <c r="Q85" s="34">
        <f t="shared" si="21"/>
        <v>-87.058715855145238</v>
      </c>
    </row>
    <row r="86" spans="2:17" ht="14.25" customHeight="1" x14ac:dyDescent="0.3">
      <c r="B86" s="41" t="s">
        <v>128</v>
      </c>
      <c r="C86" s="57">
        <v>0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-334</v>
      </c>
      <c r="K86" s="57">
        <v>0</v>
      </c>
      <c r="L86" s="57">
        <v>0</v>
      </c>
      <c r="M86" s="34">
        <f t="shared" si="21"/>
        <v>-89.077742951066284</v>
      </c>
      <c r="N86" s="34">
        <f t="shared" si="21"/>
        <v>-99.195928749990344</v>
      </c>
      <c r="O86" s="34">
        <f t="shared" si="21"/>
        <v>-109.31411454891463</v>
      </c>
      <c r="P86" s="34">
        <f t="shared" si="21"/>
        <v>-119.43230034783869</v>
      </c>
      <c r="Q86" s="34">
        <f t="shared" si="21"/>
        <v>-129.55048614676298</v>
      </c>
    </row>
    <row r="87" spans="2:17" ht="15" customHeight="1" x14ac:dyDescent="0.3">
      <c r="B87" s="41" t="s">
        <v>129</v>
      </c>
      <c r="C87" s="57">
        <v>-351</v>
      </c>
      <c r="D87" s="57">
        <v>597</v>
      </c>
      <c r="E87" s="57">
        <v>-1612</v>
      </c>
      <c r="F87" s="57">
        <v>-300</v>
      </c>
      <c r="G87" s="57">
        <v>649</v>
      </c>
      <c r="H87" s="57">
        <v>3994</v>
      </c>
      <c r="I87" s="57">
        <v>-101</v>
      </c>
      <c r="J87" s="57">
        <v>-1213</v>
      </c>
      <c r="K87" s="57">
        <v>-2804</v>
      </c>
      <c r="L87" s="57">
        <v>5870</v>
      </c>
      <c r="M87" s="34">
        <f t="shared" si="21"/>
        <v>1742.9823489400296</v>
      </c>
      <c r="N87" s="34">
        <f t="shared" si="21"/>
        <v>1973.7914389888792</v>
      </c>
      <c r="O87" s="34">
        <f t="shared" si="21"/>
        <v>2204.6005290377252</v>
      </c>
      <c r="P87" s="34">
        <f t="shared" si="21"/>
        <v>2435.4096190865748</v>
      </c>
      <c r="Q87" s="34">
        <f t="shared" si="21"/>
        <v>2666.2187091354208</v>
      </c>
    </row>
    <row r="88" spans="2:17" s="5" customFormat="1" ht="14.25" customHeight="1" x14ac:dyDescent="0.3">
      <c r="B88" s="58" t="s">
        <v>130</v>
      </c>
      <c r="C88" s="59">
        <f t="shared" ref="C88:L88" si="22">SUM(C77:C87)</f>
        <v>-282</v>
      </c>
      <c r="D88" s="59">
        <f t="shared" si="22"/>
        <v>-1173</v>
      </c>
      <c r="E88" s="59">
        <f t="shared" si="22"/>
        <v>-1063</v>
      </c>
      <c r="F88" s="59">
        <f t="shared" si="22"/>
        <v>-438</v>
      </c>
      <c r="G88" s="59">
        <f t="shared" si="22"/>
        <v>1791</v>
      </c>
      <c r="H88" s="59">
        <f t="shared" si="22"/>
        <v>-1228</v>
      </c>
      <c r="I88" s="59">
        <f t="shared" si="22"/>
        <v>-1728</v>
      </c>
      <c r="J88" s="59">
        <f t="shared" si="22"/>
        <v>-1484</v>
      </c>
      <c r="K88" s="59">
        <f t="shared" si="22"/>
        <v>-5324</v>
      </c>
      <c r="L88" s="59">
        <f t="shared" si="22"/>
        <v>6473</v>
      </c>
      <c r="M88" s="62">
        <f t="shared" si="21"/>
        <v>312.25246059371784</v>
      </c>
      <c r="N88" s="62">
        <f t="shared" si="21"/>
        <v>449.97521295453771</v>
      </c>
      <c r="O88" s="62">
        <f t="shared" si="21"/>
        <v>587.69796531535758</v>
      </c>
      <c r="P88" s="62">
        <f t="shared" si="21"/>
        <v>725.42071767617745</v>
      </c>
      <c r="Q88" s="62">
        <f t="shared" si="21"/>
        <v>863.14347003699731</v>
      </c>
    </row>
    <row r="89" spans="2:17" ht="14.25" customHeight="1" x14ac:dyDescent="0.3"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32"/>
      <c r="N89" s="32"/>
      <c r="O89" s="32"/>
      <c r="P89" s="32"/>
      <c r="Q89" s="32"/>
    </row>
    <row r="90" spans="2:17" ht="14.25" customHeight="1" x14ac:dyDescent="0.3">
      <c r="B90" s="52" t="s">
        <v>131</v>
      </c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32"/>
      <c r="N90" s="32"/>
      <c r="O90" s="32"/>
      <c r="P90" s="32"/>
      <c r="Q90" s="32"/>
    </row>
    <row r="91" spans="2:17" ht="14.25" customHeight="1" x14ac:dyDescent="0.3">
      <c r="B91" s="41" t="s">
        <v>132</v>
      </c>
      <c r="C91" s="57">
        <v>0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34">
        <f t="shared" ref="M91:Q98" si="23">_xlfn.FORECAST.LINEAR(M$3,$C91:$L91,$C$3:$L$3)</f>
        <v>0</v>
      </c>
      <c r="N91" s="34">
        <f t="shared" si="23"/>
        <v>0</v>
      </c>
      <c r="O91" s="34">
        <f t="shared" si="23"/>
        <v>0</v>
      </c>
      <c r="P91" s="34">
        <f t="shared" si="23"/>
        <v>0</v>
      </c>
      <c r="Q91" s="34">
        <f t="shared" si="23"/>
        <v>0</v>
      </c>
    </row>
    <row r="92" spans="2:17" ht="14.25" customHeight="1" x14ac:dyDescent="0.3">
      <c r="B92" s="41" t="s">
        <v>133</v>
      </c>
      <c r="C92" s="57">
        <v>177</v>
      </c>
      <c r="D92" s="57">
        <v>460</v>
      </c>
      <c r="E92" s="57">
        <v>0</v>
      </c>
      <c r="F92" s="57">
        <v>99</v>
      </c>
      <c r="G92" s="57">
        <v>0</v>
      </c>
      <c r="H92" s="57">
        <v>188</v>
      </c>
      <c r="I92" s="57">
        <v>55</v>
      </c>
      <c r="J92" s="57">
        <v>286</v>
      </c>
      <c r="K92" s="57">
        <v>0</v>
      </c>
      <c r="L92" s="57">
        <v>0</v>
      </c>
      <c r="M92" s="34">
        <f t="shared" si="23"/>
        <v>15.635306862639936</v>
      </c>
      <c r="N92" s="34">
        <f t="shared" si="23"/>
        <v>-4.5118741157698423</v>
      </c>
      <c r="O92" s="34">
        <f t="shared" si="23"/>
        <v>-24.659055094179621</v>
      </c>
      <c r="P92" s="34">
        <f t="shared" si="23"/>
        <v>-44.806236072589854</v>
      </c>
      <c r="Q92" s="34">
        <f t="shared" si="23"/>
        <v>-64.953417050999633</v>
      </c>
    </row>
    <row r="93" spans="2:17" ht="14.25" customHeight="1" x14ac:dyDescent="0.3">
      <c r="B93" s="41" t="s">
        <v>134</v>
      </c>
      <c r="C93" s="57">
        <v>0</v>
      </c>
      <c r="D93" s="57">
        <v>-360</v>
      </c>
      <c r="E93" s="57">
        <v>-277</v>
      </c>
      <c r="F93" s="57">
        <v>0</v>
      </c>
      <c r="G93" s="57">
        <v>-99</v>
      </c>
      <c r="H93" s="57">
        <v>-188</v>
      </c>
      <c r="I93" s="57">
        <v>-55</v>
      </c>
      <c r="J93" s="57">
        <v>-208</v>
      </c>
      <c r="K93" s="57">
        <v>-85</v>
      </c>
      <c r="L93" s="57">
        <v>0</v>
      </c>
      <c r="M93" s="34">
        <f t="shared" si="23"/>
        <v>-59.997431966505928</v>
      </c>
      <c r="N93" s="34">
        <f t="shared" si="23"/>
        <v>-47.78486670276402</v>
      </c>
      <c r="O93" s="34">
        <f t="shared" si="23"/>
        <v>-35.572301439022112</v>
      </c>
      <c r="P93" s="34">
        <f t="shared" si="23"/>
        <v>-23.359736175280432</v>
      </c>
      <c r="Q93" s="34">
        <f t="shared" si="23"/>
        <v>-11.147170911538524</v>
      </c>
    </row>
    <row r="94" spans="2:17" ht="14.25" customHeight="1" x14ac:dyDescent="0.3">
      <c r="B94" s="41" t="s">
        <v>135</v>
      </c>
      <c r="C94" s="57">
        <v>-2</v>
      </c>
      <c r="D94" s="57">
        <v>-14</v>
      </c>
      <c r="E94" s="57">
        <v>-6</v>
      </c>
      <c r="F94" s="57">
        <v>-7</v>
      </c>
      <c r="G94" s="57">
        <v>-90</v>
      </c>
      <c r="H94" s="57">
        <v>-92</v>
      </c>
      <c r="I94" s="57">
        <v>-82</v>
      </c>
      <c r="J94" s="57">
        <v>-88</v>
      </c>
      <c r="K94" s="57">
        <v>-110</v>
      </c>
      <c r="L94" s="57">
        <v>-130</v>
      </c>
      <c r="M94" s="34">
        <f t="shared" si="23"/>
        <v>-144.11567726718226</v>
      </c>
      <c r="N94" s="34">
        <f t="shared" si="23"/>
        <v>-159.02019417159931</v>
      </c>
      <c r="O94" s="34">
        <f t="shared" si="23"/>
        <v>-173.92471107601614</v>
      </c>
      <c r="P94" s="34">
        <f t="shared" si="23"/>
        <v>-188.82922798043319</v>
      </c>
      <c r="Q94" s="34">
        <f t="shared" si="23"/>
        <v>-203.73374488485024</v>
      </c>
    </row>
    <row r="95" spans="2:17" ht="14.25" customHeight="1" x14ac:dyDescent="0.3">
      <c r="B95" s="41" t="s">
        <v>136</v>
      </c>
      <c r="C95" s="57">
        <v>-3354</v>
      </c>
      <c r="D95" s="57">
        <v>-3572</v>
      </c>
      <c r="E95" s="57">
        <v>-3911</v>
      </c>
      <c r="F95" s="57">
        <v>-4554</v>
      </c>
      <c r="G95" s="57">
        <v>-5196</v>
      </c>
      <c r="H95" s="57">
        <v>-8811</v>
      </c>
      <c r="I95" s="57">
        <v>-7526</v>
      </c>
      <c r="J95" s="57">
        <v>-8474</v>
      </c>
      <c r="K95" s="57">
        <v>-9416</v>
      </c>
      <c r="L95" s="57">
        <v>-12473</v>
      </c>
      <c r="M95" s="34">
        <f t="shared" si="23"/>
        <v>-12005.034908939546</v>
      </c>
      <c r="N95" s="34">
        <f t="shared" si="23"/>
        <v>-12963.890891893461</v>
      </c>
      <c r="O95" s="34">
        <f t="shared" si="23"/>
        <v>-13922.746874847377</v>
      </c>
      <c r="P95" s="34">
        <f t="shared" si="23"/>
        <v>-14881.602857801292</v>
      </c>
      <c r="Q95" s="34">
        <f t="shared" si="23"/>
        <v>-15840.458840755207</v>
      </c>
    </row>
    <row r="96" spans="2:17" ht="14.25" customHeight="1" x14ac:dyDescent="0.3">
      <c r="B96" s="41" t="s">
        <v>137</v>
      </c>
      <c r="C96" s="57">
        <v>0</v>
      </c>
      <c r="D96" s="57">
        <v>0</v>
      </c>
      <c r="E96" s="57">
        <v>0</v>
      </c>
      <c r="F96" s="57">
        <v>0</v>
      </c>
      <c r="G96" s="57">
        <v>-373</v>
      </c>
      <c r="H96" s="57">
        <v>-406</v>
      </c>
      <c r="I96" s="57">
        <v>-407</v>
      </c>
      <c r="J96" s="57">
        <v>-467</v>
      </c>
      <c r="K96" s="57">
        <v>-423</v>
      </c>
      <c r="L96" s="57">
        <v>-498</v>
      </c>
      <c r="M96" s="34">
        <f t="shared" si="23"/>
        <v>-625.05715760700423</v>
      </c>
      <c r="N96" s="34">
        <f t="shared" si="23"/>
        <v>-691.87063160578782</v>
      </c>
      <c r="O96" s="34">
        <f t="shared" si="23"/>
        <v>-758.68410560457141</v>
      </c>
      <c r="P96" s="34">
        <f t="shared" si="23"/>
        <v>-825.49757960335501</v>
      </c>
      <c r="Q96" s="34">
        <f t="shared" si="23"/>
        <v>-892.3110536021386</v>
      </c>
    </row>
    <row r="97" spans="2:17" ht="15" customHeight="1" x14ac:dyDescent="0.3">
      <c r="B97" s="41" t="s">
        <v>138</v>
      </c>
      <c r="C97" s="57">
        <v>-685</v>
      </c>
      <c r="D97" s="57">
        <v>-728</v>
      </c>
      <c r="E97" s="57">
        <v>-781</v>
      </c>
      <c r="F97" s="57">
        <v>-928</v>
      </c>
      <c r="G97" s="57">
        <v>-1061</v>
      </c>
      <c r="H97" s="57">
        <v>0</v>
      </c>
      <c r="I97" s="57">
        <v>0</v>
      </c>
      <c r="J97" s="57">
        <v>-2</v>
      </c>
      <c r="K97" s="57">
        <v>0</v>
      </c>
      <c r="L97" s="57">
        <v>0</v>
      </c>
      <c r="M97" s="34">
        <f t="shared" si="23"/>
        <v>214.69921891343438</v>
      </c>
      <c r="N97" s="34">
        <f t="shared" si="23"/>
        <v>329.76902966942362</v>
      </c>
      <c r="O97" s="34">
        <f t="shared" si="23"/>
        <v>444.83884042541104</v>
      </c>
      <c r="P97" s="34">
        <f t="shared" si="23"/>
        <v>559.90865118140027</v>
      </c>
      <c r="Q97" s="34">
        <f t="shared" si="23"/>
        <v>674.97846193738951</v>
      </c>
    </row>
    <row r="98" spans="2:17" s="5" customFormat="1" ht="14.25" customHeight="1" x14ac:dyDescent="0.3">
      <c r="B98" s="58" t="s">
        <v>131</v>
      </c>
      <c r="C98" s="59">
        <f t="shared" ref="C98:L98" si="24">SUM(C91:C97)</f>
        <v>-3864</v>
      </c>
      <c r="D98" s="59">
        <f t="shared" si="24"/>
        <v>-4214</v>
      </c>
      <c r="E98" s="59">
        <f t="shared" si="24"/>
        <v>-4975</v>
      </c>
      <c r="F98" s="59">
        <f t="shared" si="24"/>
        <v>-5390</v>
      </c>
      <c r="G98" s="59">
        <f t="shared" si="24"/>
        <v>-6819</v>
      </c>
      <c r="H98" s="59">
        <f t="shared" si="24"/>
        <v>-9309</v>
      </c>
      <c r="I98" s="59">
        <f t="shared" si="24"/>
        <v>-8015</v>
      </c>
      <c r="J98" s="59">
        <f t="shared" si="24"/>
        <v>-8953</v>
      </c>
      <c r="K98" s="59">
        <f t="shared" si="24"/>
        <v>-10034</v>
      </c>
      <c r="L98" s="59">
        <f t="shared" si="24"/>
        <v>-13101</v>
      </c>
      <c r="M98" s="62">
        <f t="shared" si="23"/>
        <v>-12603.870650004174</v>
      </c>
      <c r="N98" s="62">
        <f t="shared" si="23"/>
        <v>-13537.309428819965</v>
      </c>
      <c r="O98" s="62">
        <f t="shared" si="23"/>
        <v>-14470.74820763577</v>
      </c>
      <c r="P98" s="62">
        <f t="shared" si="23"/>
        <v>-15404.186986451561</v>
      </c>
      <c r="Q98" s="62">
        <f t="shared" si="23"/>
        <v>-16337.625765267352</v>
      </c>
    </row>
    <row r="99" spans="2:17" ht="15" customHeight="1" x14ac:dyDescent="0.3">
      <c r="M99" s="32"/>
      <c r="N99" s="32"/>
      <c r="O99" s="32"/>
      <c r="P99" s="32"/>
      <c r="Q99" s="32"/>
    </row>
    <row r="100" spans="2:17" ht="15" customHeight="1" x14ac:dyDescent="0.3">
      <c r="B100" s="63" t="s">
        <v>139</v>
      </c>
      <c r="C100" s="64">
        <f t="shared" ref="C100:L100" si="25">SUM(C98,C88,C74)</f>
        <v>-56</v>
      </c>
      <c r="D100" s="64">
        <f t="shared" si="25"/>
        <v>364</v>
      </c>
      <c r="E100" s="64">
        <f t="shared" si="25"/>
        <v>857</v>
      </c>
      <c r="F100" s="64">
        <f t="shared" si="25"/>
        <v>-370</v>
      </c>
      <c r="G100" s="64">
        <f t="shared" si="25"/>
        <v>3006</v>
      </c>
      <c r="H100" s="64">
        <f t="shared" si="25"/>
        <v>-1475</v>
      </c>
      <c r="I100" s="64">
        <f t="shared" si="25"/>
        <v>-1695</v>
      </c>
      <c r="J100" s="64">
        <f t="shared" si="25"/>
        <v>-1406</v>
      </c>
      <c r="K100" s="64">
        <f t="shared" si="25"/>
        <v>1424</v>
      </c>
      <c r="L100" s="64">
        <f t="shared" si="25"/>
        <v>4470</v>
      </c>
      <c r="M100" s="65">
        <f>_xlfn.FORECAST.LINEAR(M$3,$C100:$L100,$C$3:$L$3)</f>
        <v>1457.7587542737092</v>
      </c>
      <c r="N100" s="65">
        <f>_xlfn.FORECAST.LINEAR(N$3,$C100:$L100,$C$3:$L$3)</f>
        <v>1629.6474499719443</v>
      </c>
      <c r="O100" s="65">
        <f>_xlfn.FORECAST.LINEAR(O$3,$C100:$L100,$C$3:$L$3)</f>
        <v>1801.5361456701794</v>
      </c>
      <c r="P100" s="65">
        <f>_xlfn.FORECAST.LINEAR(P$3,$C100:$L100,$C$3:$L$3)</f>
        <v>1973.4248413684109</v>
      </c>
      <c r="Q100" s="65">
        <f>_xlfn.FORECAST.LINEAR(Q$3,$C100:$L100,$C$3:$L$3)</f>
        <v>2145.3135370666459</v>
      </c>
    </row>
  </sheetData>
  <mergeCells count="1">
    <mergeCell ref="B2:Q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Q40"/>
  <sheetViews>
    <sheetView showGridLines="0" zoomScale="75" zoomScaleNormal="75" workbookViewId="0">
      <pane ySplit="3" topLeftCell="A4" activePane="bottomLeft" state="frozen"/>
      <selection pane="bottomLeft" activeCell="A37" sqref="A37:XFD37"/>
    </sheetView>
  </sheetViews>
  <sheetFormatPr defaultColWidth="8.6640625" defaultRowHeight="14.4" x14ac:dyDescent="0.3"/>
  <cols>
    <col min="1" max="1" width="1.88671875" customWidth="1"/>
    <col min="2" max="2" width="21.33203125" customWidth="1"/>
    <col min="3" max="9" width="15.21875" customWidth="1"/>
    <col min="10" max="10" width="14.21875" customWidth="1"/>
    <col min="11" max="17" width="15.21875" customWidth="1"/>
  </cols>
  <sheetData>
    <row r="2" spans="2:17" ht="14.25" customHeight="1" x14ac:dyDescent="0.3">
      <c r="B2" s="139" t="str">
        <f>"Ratio Analysis for "&amp;Data!B1</f>
        <v>Ratio Analysis for MOTILAL OSWAL FINANCIAL SERVICES LTD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</row>
    <row r="3" spans="2:17" ht="14.25" customHeight="1" x14ac:dyDescent="0.3">
      <c r="B3" s="27" t="s">
        <v>74</v>
      </c>
      <c r="C3" s="28">
        <f>Data!B16</f>
        <v>42825</v>
      </c>
      <c r="D3" s="28">
        <f>Data!C16</f>
        <v>43190</v>
      </c>
      <c r="E3" s="28">
        <f>Data!D16</f>
        <v>43555</v>
      </c>
      <c r="F3" s="28">
        <f>Data!E16</f>
        <v>43921</v>
      </c>
      <c r="G3" s="28">
        <f>Data!F16</f>
        <v>44286</v>
      </c>
      <c r="H3" s="28">
        <f>Data!G16</f>
        <v>44651</v>
      </c>
      <c r="I3" s="28">
        <f>Data!H16</f>
        <v>45016</v>
      </c>
      <c r="J3" s="28">
        <f>Data!I16</f>
        <v>45382</v>
      </c>
      <c r="K3" s="28">
        <f>Data!J16</f>
        <v>45747</v>
      </c>
      <c r="L3" s="28">
        <f>Data!K16</f>
        <v>46112</v>
      </c>
      <c r="M3" s="29">
        <f>Data!K16+365</f>
        <v>46477</v>
      </c>
      <c r="N3" s="29">
        <f>M3+365</f>
        <v>46842</v>
      </c>
      <c r="O3" s="29">
        <f>N3+365</f>
        <v>47207</v>
      </c>
      <c r="P3" s="29">
        <f>O3+365</f>
        <v>47572</v>
      </c>
      <c r="Q3" s="29">
        <f>P3+365</f>
        <v>47937</v>
      </c>
    </row>
    <row r="5" spans="2:17" ht="14.25" customHeight="1" x14ac:dyDescent="0.3">
      <c r="B5" s="5" t="s">
        <v>140</v>
      </c>
    </row>
    <row r="6" spans="2:17" ht="14.25" customHeight="1" x14ac:dyDescent="0.3">
      <c r="B6" s="66" t="s">
        <v>141</v>
      </c>
      <c r="C6" s="67">
        <f>'3Statement Model'!C13</f>
        <v>0.80656736909987303</v>
      </c>
      <c r="D6" s="67">
        <f>'3Statement Model'!D13</f>
        <v>0.63535586296132074</v>
      </c>
      <c r="E6" s="67">
        <f>'3Statement Model'!E13</f>
        <v>0.59768074059561127</v>
      </c>
      <c r="F6" s="67">
        <f>'3Statement Model'!F13</f>
        <v>0.46971007854513375</v>
      </c>
      <c r="G6" s="67">
        <f>'3Statement Model'!G13</f>
        <v>0.64020816728397956</v>
      </c>
      <c r="H6" s="67">
        <f>'3Statement Model'!H13</f>
        <v>0.58262467863333367</v>
      </c>
      <c r="I6" s="67">
        <f>'3Statement Model'!I13</f>
        <v>0.54159884722913709</v>
      </c>
      <c r="J6" s="67">
        <f>'3Statement Model'!J13</f>
        <v>0.64349056136702809</v>
      </c>
      <c r="K6" s="67">
        <f>'3Statement Model'!K13</f>
        <v>0.62218059988920249</v>
      </c>
      <c r="L6" s="67">
        <f>'3Statement Model'!L13</f>
        <v>0.48782533894303282</v>
      </c>
      <c r="M6" s="68">
        <f>'3Statement Model'!M13</f>
        <v>0.55430384354935303</v>
      </c>
      <c r="N6" s="68">
        <f>'3Statement Model'!N13</f>
        <v>0.55144678445454109</v>
      </c>
      <c r="O6" s="68">
        <f>'3Statement Model'!O13</f>
        <v>0.54902410314100847</v>
      </c>
      <c r="P6" s="68">
        <f>'3Statement Model'!P13</f>
        <v>0.54694373609057312</v>
      </c>
      <c r="Q6" s="68">
        <f>'3Statement Model'!Q13</f>
        <v>0.54513791941361722</v>
      </c>
    </row>
    <row r="7" spans="2:17" ht="14.25" customHeight="1" x14ac:dyDescent="0.3">
      <c r="B7" s="66" t="s">
        <v>142</v>
      </c>
      <c r="C7" s="67">
        <f>'3Statement Model'!C18</f>
        <v>0.52413097293586564</v>
      </c>
      <c r="D7" s="67">
        <f>'3Statement Model'!D18</f>
        <v>0.50666220823307917</v>
      </c>
      <c r="E7" s="67">
        <f>'3Statement Model'!E18</f>
        <v>0.37016718913270635</v>
      </c>
      <c r="F7" s="67">
        <f>'3Statement Model'!F18</f>
        <v>0.34430929479023525</v>
      </c>
      <c r="G7" s="67">
        <f>'3Statement Model'!G18</f>
        <v>0.55603114235520268</v>
      </c>
      <c r="H7" s="67">
        <f>'3Statement Model'!H18</f>
        <v>0.49335861611661103</v>
      </c>
      <c r="I7" s="67">
        <f>'3Statement Model'!I18</f>
        <v>0.44930776301175751</v>
      </c>
      <c r="J7" s="67">
        <f>'3Statement Model'!J18</f>
        <v>0.57536124254705168</v>
      </c>
      <c r="K7" s="67">
        <f>'3Statement Model'!K18</f>
        <v>0.54509001695537174</v>
      </c>
      <c r="L7" s="67">
        <f>'3Statement Model'!L18</f>
        <v>0.41327332788281451</v>
      </c>
      <c r="M7" s="68">
        <f>'3Statement Model'!M18</f>
        <v>0.49114051483690963</v>
      </c>
      <c r="N7" s="68">
        <f>'3Statement Model'!N18</f>
        <v>0.49141674689577869</v>
      </c>
      <c r="O7" s="68">
        <f>'3Statement Model'!O18</f>
        <v>0.49165098154932085</v>
      </c>
      <c r="P7" s="68">
        <f>'3Statement Model'!P18</f>
        <v>0.49185211987179678</v>
      </c>
      <c r="Q7" s="68">
        <f>'3Statement Model'!Q18</f>
        <v>0.49202671355084293</v>
      </c>
    </row>
    <row r="8" spans="2:17" ht="14.25" customHeight="1" x14ac:dyDescent="0.3">
      <c r="B8" s="66" t="s">
        <v>87</v>
      </c>
      <c r="C8" s="67">
        <f>'3Statement Model'!C23</f>
        <v>0.50705206881487785</v>
      </c>
      <c r="D8" s="67">
        <f>'3Statement Model'!D23</f>
        <v>0.49303612058124402</v>
      </c>
      <c r="E8" s="67">
        <f>'3Statement Model'!E23</f>
        <v>0.36039135971786829</v>
      </c>
      <c r="F8" s="67">
        <f>'3Statement Model'!F23</f>
        <v>0.32746789488862871</v>
      </c>
      <c r="G8" s="67">
        <f>'3Statement Model'!G23</f>
        <v>0.54292553910307151</v>
      </c>
      <c r="H8" s="67">
        <f>'3Statement Model'!H23</f>
        <v>0.48213026837751999</v>
      </c>
      <c r="I8" s="67">
        <f>'3Statement Model'!I23</f>
        <v>0.43533376737773349</v>
      </c>
      <c r="J8" s="67">
        <f>'3Statement Model'!J23</f>
        <v>0.56367982912148928</v>
      </c>
      <c r="K8" s="67">
        <f>'3Statement Model'!K23</f>
        <v>0.53324763715984336</v>
      </c>
      <c r="L8" s="67">
        <f>'3Statement Model'!L23</f>
        <v>0.40147654340464128</v>
      </c>
      <c r="M8" s="68">
        <f>'3Statement Model'!M23</f>
        <v>0.86489556004221058</v>
      </c>
      <c r="N8" s="68">
        <f>'3Statement Model'!N23</f>
        <v>0.86999780284414063</v>
      </c>
      <c r="O8" s="68">
        <f>'3Statement Model'!O23</f>
        <v>0.87436592391043511</v>
      </c>
      <c r="P8" s="68">
        <f>'3Statement Model'!P23</f>
        <v>0.87814773037211169</v>
      </c>
      <c r="Q8" s="68">
        <f>'3Statement Model'!Q23</f>
        <v>0.8814538457926252</v>
      </c>
    </row>
    <row r="9" spans="2:17" ht="14.25" customHeight="1" x14ac:dyDescent="0.3">
      <c r="B9" s="66" t="s">
        <v>143</v>
      </c>
      <c r="C9" s="67">
        <f>'3Statement Model'!C33</f>
        <v>0.2036726924757129</v>
      </c>
      <c r="D9" s="67">
        <f>'3Statement Model'!D33</f>
        <v>0.22615162066483968</v>
      </c>
      <c r="E9" s="67">
        <f>'3Statement Model'!E33</f>
        <v>0.11160772596656215</v>
      </c>
      <c r="F9" s="67">
        <f>'3Statement Model'!F33</f>
        <v>8.8159702783856611E-2</v>
      </c>
      <c r="G9" s="67">
        <f>'3Statement Model'!G33</f>
        <v>0.35380440328412294</v>
      </c>
      <c r="H9" s="67">
        <f>'3Statement Model'!H33</f>
        <v>0.29988948476634747</v>
      </c>
      <c r="I9" s="67">
        <f>'3Statement Model'!I33</f>
        <v>0.21864827084370567</v>
      </c>
      <c r="J9" s="67">
        <f>'3Statement Model'!J33</f>
        <v>0.33729409351637712</v>
      </c>
      <c r="K9" s="67">
        <f>'3Statement Model'!K33</f>
        <v>0.29144293330327581</v>
      </c>
      <c r="L9" s="67">
        <f>'3Statement Model'!L33</f>
        <v>0.19510796397541078</v>
      </c>
      <c r="M9" s="68">
        <f>'3Statement Model'!M33</f>
        <v>0.55576382725633577</v>
      </c>
      <c r="N9" s="68">
        <f>'3Statement Model'!N33</f>
        <v>0.5581404693275297</v>
      </c>
      <c r="O9" s="68">
        <f>'3Statement Model'!O33</f>
        <v>0.56015311706605053</v>
      </c>
      <c r="P9" s="68">
        <f>'3Statement Model'!P33</f>
        <v>0.56187944371649468</v>
      </c>
      <c r="Q9" s="68">
        <f>'3Statement Model'!Q33</f>
        <v>0.56337649036605419</v>
      </c>
    </row>
    <row r="10" spans="2:17" ht="14.25" customHeight="1" x14ac:dyDescent="0.3">
      <c r="B10" s="66" t="s">
        <v>144</v>
      </c>
      <c r="C10" s="67">
        <f>'3Statement Model'!C32/'3Statement Model'!C58</f>
        <v>4.6407707165625818E-2</v>
      </c>
      <c r="D10" s="67">
        <f>'3Statement Model'!D32/'3Statement Model'!D58</f>
        <v>5.9764197382638974E-2</v>
      </c>
      <c r="E10" s="67">
        <f>'3Statement Model'!E32/'3Statement Model'!E58</f>
        <v>2.6392169316050637E-2</v>
      </c>
      <c r="F10" s="67">
        <f>'3Statement Model'!F32/'3Statement Model'!F58</f>
        <v>2.0614640986710099E-2</v>
      </c>
      <c r="G10" s="67">
        <f>'3Statement Model'!G32/'3Statement Model'!G58</f>
        <v>9.1363331745173734E-2</v>
      </c>
      <c r="H10" s="67">
        <f>'3Statement Model'!H32/'3Statement Model'!H58</f>
        <v>7.6450446357343285E-2</v>
      </c>
      <c r="I10" s="67">
        <f>'3Statement Model'!I32/'3Statement Model'!I58</f>
        <v>3.9803444728307255E-2</v>
      </c>
      <c r="J10" s="67">
        <f>'3Statement Model'!J32/'3Statement Model'!J58</f>
        <v>7.5051265385517305E-2</v>
      </c>
      <c r="K10" s="67">
        <f>'3Statement Model'!K32/'3Statement Model'!K58</f>
        <v>7.1661391448692324E-2</v>
      </c>
      <c r="L10" s="67">
        <f>'3Statement Model'!L32/'3Statement Model'!L58</f>
        <v>4.2173886696532471E-2</v>
      </c>
      <c r="M10" s="68">
        <f>'3Statement Model'!M32/'3Statement Model'!M58</f>
        <v>5.9273085214080222E-2</v>
      </c>
      <c r="N10" s="68">
        <f>'3Statement Model'!N32/'3Statement Model'!N58</f>
        <v>5.9419141139103654E-2</v>
      </c>
      <c r="O10" s="68">
        <f>'3Statement Model'!O32/'3Statement Model'!O58</f>
        <v>5.9542416309021386E-2</v>
      </c>
      <c r="P10" s="68">
        <f>'3Statement Model'!P32/'3Statement Model'!P58</f>
        <v>5.9647854912372948E-2</v>
      </c>
      <c r="Q10" s="68">
        <f>'3Statement Model'!Q32/'3Statement Model'!Q58</f>
        <v>5.9739066921125447E-2</v>
      </c>
    </row>
    <row r="11" spans="2:17" ht="14.25" customHeight="1" x14ac:dyDescent="0.3">
      <c r="B11" s="66" t="s">
        <v>145</v>
      </c>
      <c r="C11" s="67">
        <f>'3Statement Model'!C32/SUM('3Statement Model'!C36:C37)</f>
        <v>0.2192740323510802</v>
      </c>
      <c r="D11" s="67">
        <f>'3Statement Model'!D32/SUM('3Statement Model'!D36:D37)</f>
        <v>0.21560691638656918</v>
      </c>
      <c r="E11" s="67">
        <f>'3Statement Model'!E32/SUM('3Statement Model'!E36:E37)</f>
        <v>8.9548181722909223E-2</v>
      </c>
      <c r="F11" s="67">
        <f>'3Statement Model'!F32/SUM('3Statement Model'!F36:F37)</f>
        <v>6.7352493276739089E-2</v>
      </c>
      <c r="G11" s="67">
        <f>'3Statement Model'!G32/SUM('3Statement Model'!G36:G37)</f>
        <v>0.28754746246710683</v>
      </c>
      <c r="H11" s="67">
        <f>'3Statement Model'!H32/SUM('3Statement Model'!H36:H37)</f>
        <v>0.22715120797551092</v>
      </c>
      <c r="I11" s="67">
        <f>'3Statement Model'!I32/SUM('3Statement Model'!I36:I37)</f>
        <v>0.14610123731654573</v>
      </c>
      <c r="J11" s="67">
        <f>'3Statement Model'!J32/SUM('3Statement Model'!J36:J37)</f>
        <v>0.27307750891285509</v>
      </c>
      <c r="K11" s="67">
        <f>'3Statement Model'!K32/SUM('3Statement Model'!K36:K37)</f>
        <v>0.21937247107902744</v>
      </c>
      <c r="L11" s="67">
        <f>'3Statement Model'!L32/SUM('3Statement Model'!L36:L37)</f>
        <v>0.14202071364946939</v>
      </c>
      <c r="M11" s="68">
        <f>'3Statement Model'!M32/SUM('3Statement Model'!M36:M37)</f>
        <v>0.19454934787737699</v>
      </c>
      <c r="N11" s="68">
        <f>'3Statement Model'!N32/SUM('3Statement Model'!N36:N37)</f>
        <v>0.1945858236116127</v>
      </c>
      <c r="O11" s="68">
        <f>'3Statement Model'!O32/SUM('3Statement Model'!O36:O37)</f>
        <v>0.19461648143996527</v>
      </c>
      <c r="P11" s="68">
        <f>'3Statement Model'!P32/SUM('3Statement Model'!P36:P37)</f>
        <v>0.19464261049399703</v>
      </c>
      <c r="Q11" s="68">
        <f>'3Statement Model'!Q32/SUM('3Statement Model'!Q36:Q37)</f>
        <v>0.19466514523983636</v>
      </c>
    </row>
    <row r="12" spans="2:17" ht="14.25" customHeight="1" x14ac:dyDescent="0.3">
      <c r="B12" s="6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</row>
    <row r="13" spans="2:17" ht="14.25" customHeight="1" x14ac:dyDescent="0.3">
      <c r="B13" s="69" t="s">
        <v>146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</row>
    <row r="14" spans="2:17" ht="14.25" customHeight="1" x14ac:dyDescent="0.3">
      <c r="B14" s="66" t="s">
        <v>147</v>
      </c>
      <c r="C14" s="67">
        <f>'3Statement Model'!C38/SUM('3Statement Model'!C36:C37)</f>
        <v>2.8369232319725874</v>
      </c>
      <c r="D14" s="67">
        <f>'3Statement Model'!D38/SUM('3Statement Model'!D36:D37)</f>
        <v>1.8444644651581827</v>
      </c>
      <c r="E14" s="67">
        <f>'3Statement Model'!E38/SUM('3Statement Model'!E36:E37)</f>
        <v>1.6891669723328444</v>
      </c>
      <c r="F14" s="67">
        <f>'3Statement Model'!F38/SUM('3Statement Model'!F36:F37)</f>
        <v>1.4991834883193471</v>
      </c>
      <c r="G14" s="67">
        <f>'3Statement Model'!G38/SUM('3Statement Model'!G36:G37)</f>
        <v>1.2761161244626149</v>
      </c>
      <c r="H14" s="67">
        <f>'3Statement Model'!H38/SUM('3Statement Model'!H36:H37)</f>
        <v>1.0842595741906149</v>
      </c>
      <c r="I14" s="67">
        <f>'3Statement Model'!I38/SUM('3Statement Model'!I36:I37)</f>
        <v>1.6438300513096109</v>
      </c>
      <c r="J14" s="67">
        <f>'3Statement Model'!J38/SUM('3Statement Model'!J36:J37)</f>
        <v>1.5790017373338967</v>
      </c>
      <c r="K14" s="67">
        <f>'3Statement Model'!K38/SUM('3Statement Model'!K36:K37)</f>
        <v>1.3296480924388028</v>
      </c>
      <c r="L14" s="67">
        <f>'3Statement Model'!L38/SUM('3Statement Model'!L36:L37)</f>
        <v>1.6492017454834373</v>
      </c>
      <c r="M14" s="68">
        <f>'3Statement Model'!M38/SUM('3Statement Model'!M36:M37)</f>
        <v>1.4580505894007867</v>
      </c>
      <c r="N14" s="68">
        <f>'3Statement Model'!N38/SUM('3Statement Model'!N36:N37)</f>
        <v>1.4517787062653955</v>
      </c>
      <c r="O14" s="68">
        <f>'3Statement Model'!O38/SUM('3Statement Model'!O36:O37)</f>
        <v>1.4465071930075357</v>
      </c>
      <c r="P14" s="68">
        <f>'3Statement Model'!P38/SUM('3Statement Model'!P36:P37)</f>
        <v>1.4420143876738207</v>
      </c>
      <c r="Q14" s="68">
        <f>'3Statement Model'!Q38/SUM('3Statement Model'!Q36:Q37)</f>
        <v>1.4381396118714584</v>
      </c>
    </row>
    <row r="15" spans="2:17" ht="14.25" customHeight="1" x14ac:dyDescent="0.3">
      <c r="B15" s="66" t="s">
        <v>148</v>
      </c>
      <c r="C15" s="67">
        <f>'3Statement Model'!C38/'3Statement Model'!C58</f>
        <v>0.60041356100913612</v>
      </c>
      <c r="D15" s="67">
        <f>'3Statement Model'!D38/'3Statement Model'!D58</f>
        <v>0.51126809941169404</v>
      </c>
      <c r="E15" s="67">
        <f>'3Statement Model'!E38/'3Statement Model'!E58</f>
        <v>0.49784127247648952</v>
      </c>
      <c r="F15" s="67">
        <f>'3Statement Model'!F38/'3Statement Model'!F58</f>
        <v>0.45885650079683765</v>
      </c>
      <c r="G15" s="67">
        <f>'3Statement Model'!G38/'3Statement Model'!G58</f>
        <v>0.40546426605305308</v>
      </c>
      <c r="H15" s="67">
        <f>'3Statement Model'!H38/'3Statement Model'!H58</f>
        <v>0.36492048249654063</v>
      </c>
      <c r="I15" s="67">
        <f>'3Statement Model'!I38/'3Statement Model'!I58</f>
        <v>0.44784082456653307</v>
      </c>
      <c r="J15" s="67">
        <f>'3Statement Model'!J38/'3Statement Model'!J58</f>
        <v>0.43396499003020056</v>
      </c>
      <c r="K15" s="67">
        <f>'3Statement Model'!K38/'3Statement Model'!K58</f>
        <v>0.43434999830465743</v>
      </c>
      <c r="L15" s="67">
        <f>'3Statement Model'!L38/'3Statement Model'!L58</f>
        <v>0.48974016371591395</v>
      </c>
      <c r="M15" s="68">
        <f>'3Statement Model'!M38/'3Statement Model'!M58</f>
        <v>0.44422228999947411</v>
      </c>
      <c r="N15" s="68">
        <f>'3Statement Model'!N38/'3Statement Model'!N58</f>
        <v>0.44331823484997557</v>
      </c>
      <c r="O15" s="68">
        <f>'3Statement Model'!O38/'3Statement Model'!O58</f>
        <v>0.44255518773530661</v>
      </c>
      <c r="P15" s="68">
        <f>'3Statement Model'!P38/'3Statement Model'!P58</f>
        <v>0.44190254517869354</v>
      </c>
      <c r="Q15" s="68">
        <f>'3Statement Model'!Q38/'3Statement Model'!Q58</f>
        <v>0.44133796222051741</v>
      </c>
    </row>
    <row r="16" spans="2:17" ht="14.25" customHeight="1" x14ac:dyDescent="0.3">
      <c r="B16" s="66" t="s">
        <v>149</v>
      </c>
      <c r="C16" s="67">
        <f>'3Statement Model'!C22/'3Statement Model'!C25</f>
        <v>2.2045403156514265</v>
      </c>
      <c r="D16" s="67">
        <f>'3Statement Model'!D22/'3Statement Model'!D25</f>
        <v>2.5670571315027537</v>
      </c>
      <c r="E16" s="67">
        <f>'3Statement Model'!E22/'3Statement Model'!E25</f>
        <v>1.7082906065589627</v>
      </c>
      <c r="F16" s="67">
        <f>'3Statement Model'!F22/'3Statement Model'!F25</f>
        <v>1.5615305276356499</v>
      </c>
      <c r="G16" s="67">
        <f>'3Statement Model'!G22/'3Statement Model'!G25</f>
        <v>4.5751836013758487</v>
      </c>
      <c r="H16" s="67">
        <f>'3Statement Model'!H22/'3Statement Model'!H25</f>
        <v>4.3334657772015301</v>
      </c>
      <c r="I16" s="67">
        <f>'3Statement Model'!I22/'3Statement Model'!I25</f>
        <v>3.0524142792407227</v>
      </c>
      <c r="J16" s="67">
        <f>'3Statement Model'!J22/'3Statement Model'!J25</f>
        <v>3.9292898416392217</v>
      </c>
      <c r="K16" s="67">
        <f>'3Statement Model'!K22/'3Statement Model'!K25</f>
        <v>3.4248571384563258</v>
      </c>
      <c r="L16" s="67">
        <f>'3Statement Model'!L22/'3Statement Model'!L25</f>
        <v>2.8182967801797352</v>
      </c>
      <c r="M16" s="68">
        <f>'3Statement Model'!M22/'3Statement Model'!M25</f>
        <v>3.493521427231892</v>
      </c>
      <c r="N16" s="68">
        <f>'3Statement Model'!N22/'3Statement Model'!N25</f>
        <v>3.5322000512233891</v>
      </c>
      <c r="O16" s="68">
        <f>'3Statement Model'!O22/'3Statement Model'!O25</f>
        <v>3.5656309446613266</v>
      </c>
      <c r="P16" s="68">
        <f>'3Statement Model'!P22/'3Statement Model'!P25</f>
        <v>3.5948142413070343</v>
      </c>
      <c r="Q16" s="68">
        <f>'3Statement Model'!Q22/'3Statement Model'!Q25</f>
        <v>3.6205111098380627</v>
      </c>
    </row>
    <row r="17" spans="2:17" ht="14.25" customHeight="1" x14ac:dyDescent="0.3">
      <c r="B17" s="6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</row>
    <row r="18" spans="2:17" ht="14.25" customHeight="1" x14ac:dyDescent="0.3">
      <c r="B18" s="69" t="s">
        <v>150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</row>
    <row r="19" spans="2:17" ht="14.25" customHeight="1" x14ac:dyDescent="0.3">
      <c r="B19" s="66" t="s">
        <v>151</v>
      </c>
      <c r="C19" s="67">
        <f>'3Statement Model'!C7/'3Statement Model'!C58</f>
        <v>0.22785434120560732</v>
      </c>
      <c r="D19" s="67">
        <f>'3Statement Model'!D7/'3Statement Model'!D58</f>
        <v>0.26426605835034217</v>
      </c>
      <c r="E19" s="67">
        <f>'3Statement Model'!E7/'3Statement Model'!E58</f>
        <v>0.23647260158277728</v>
      </c>
      <c r="F19" s="67">
        <f>'3Statement Model'!F7/'3Statement Model'!F58</f>
        <v>0.23383292293137081</v>
      </c>
      <c r="G19" s="67">
        <f>'3Statement Model'!G7/'3Statement Model'!G58</f>
        <v>0.25823118903301023</v>
      </c>
      <c r="H19" s="67">
        <f>'3Statement Model'!H7/'3Statement Model'!H58</f>
        <v>0.25492873288607648</v>
      </c>
      <c r="I19" s="67">
        <f>'3Statement Model'!I7/'3Statement Model'!I58</f>
        <v>0.18204326324976786</v>
      </c>
      <c r="J19" s="67">
        <f>'3Statement Model'!J7/'3Statement Model'!J58</f>
        <v>0.22250987143916065</v>
      </c>
      <c r="K19" s="67">
        <f>'3Statement Model'!K7/'3Statement Model'!K58</f>
        <v>0.24588481400618284</v>
      </c>
      <c r="L19" s="67">
        <f>'3Statement Model'!L7/'3Statement Model'!L58</f>
        <v>0.21615666442938022</v>
      </c>
      <c r="M19" s="68">
        <f>'3Statement Model'!M7/'3Statement Model'!M58</f>
        <v>0.22246192909788015</v>
      </c>
      <c r="N19" s="68">
        <f>'3Statement Model'!N7/'3Statement Model'!N58</f>
        <v>0.22190193656954385</v>
      </c>
      <c r="O19" s="68">
        <f>'3Statement Model'!O7/'3Statement Model'!O58</f>
        <v>0.22142928765733955</v>
      </c>
      <c r="P19" s="68">
        <f>'3Statement Model'!P7/'3Statement Model'!P58</f>
        <v>0.22102502586470399</v>
      </c>
      <c r="Q19" s="68">
        <f>'3Statement Model'!Q7/'3Statement Model'!Q58</f>
        <v>0.22067531021032166</v>
      </c>
    </row>
    <row r="20" spans="2:17" ht="28.5" customHeight="1" x14ac:dyDescent="0.3">
      <c r="B20" s="66" t="s">
        <v>152</v>
      </c>
      <c r="C20" s="67">
        <f>'3Statement Model'!C7/'3Statement Model'!C53</f>
        <v>1.5258455141329015</v>
      </c>
      <c r="D20" s="67">
        <f>'3Statement Model'!D7/'3Statement Model'!D53</f>
        <v>2.6369238731442701</v>
      </c>
      <c r="E20" s="67">
        <f>'3Statement Model'!E7/'3Statement Model'!E53</f>
        <v>1.6146256911812198</v>
      </c>
      <c r="F20" s="67">
        <f>'3Statement Model'!F7/'3Statement Model'!F53</f>
        <v>3.1626896301959682</v>
      </c>
      <c r="G20" s="67">
        <f>'3Statement Model'!G7/'3Statement Model'!G53</f>
        <v>3.9791600364342701</v>
      </c>
      <c r="H20" s="67">
        <f>'3Statement Model'!H7/'3Statement Model'!H53</f>
        <v>4.2848099372937627</v>
      </c>
      <c r="I20" s="67">
        <f>'3Statement Model'!I7/'3Statement Model'!I53</f>
        <v>4.0596643636610992</v>
      </c>
      <c r="J20" s="67">
        <f>'3Statement Model'!J7/'3Statement Model'!J53</f>
        <v>3.685561904364691</v>
      </c>
      <c r="K20" s="67">
        <f>'3Statement Model'!K7/'3Statement Model'!K53</f>
        <v>3.4696039274421704</v>
      </c>
      <c r="L20" s="67">
        <f>'3Statement Model'!L7/'3Statement Model'!L53</f>
        <v>2.3117584294166496</v>
      </c>
      <c r="M20" s="68">
        <f>'3Statement Model'!M7/'3Statement Model'!M53</f>
        <v>3.2185178017347762</v>
      </c>
      <c r="N20" s="68">
        <f>'3Statement Model'!N7/'3Statement Model'!N53</f>
        <v>3.246721842008506</v>
      </c>
      <c r="O20" s="68">
        <f>'3Statement Model'!O7/'3Statement Model'!O53</f>
        <v>3.2710280237940879</v>
      </c>
      <c r="P20" s="68">
        <f>'3Statement Model'!P7/'3Statement Model'!P53</f>
        <v>3.2921921582622056</v>
      </c>
      <c r="Q20" s="68">
        <f>'3Statement Model'!Q7/'3Statement Model'!Q53</f>
        <v>3.3107865132355725</v>
      </c>
    </row>
    <row r="21" spans="2:17" ht="14.25" customHeight="1" x14ac:dyDescent="0.3">
      <c r="B21" s="66" t="s">
        <v>153</v>
      </c>
      <c r="C21" s="67">
        <f>'3Statement Model'!C10/'3Statement Model'!C41</f>
        <v>6.5424802110817942E-2</v>
      </c>
      <c r="D21" s="67">
        <f>'3Statement Model'!D10/'3Statement Model'!D41</f>
        <v>0.1621823472356935</v>
      </c>
      <c r="E21" s="67">
        <f>'3Statement Model'!E10/'3Statement Model'!E41</f>
        <v>0.13746861924686193</v>
      </c>
      <c r="F21" s="67">
        <f>'3Statement Model'!F10/'3Statement Model'!F41</f>
        <v>0.17351651401609772</v>
      </c>
      <c r="G21" s="67">
        <f>'3Statement Model'!G10/'3Statement Model'!G41</f>
        <v>0.17313603185136031</v>
      </c>
      <c r="H21" s="67">
        <f>'3Statement Model'!H10/'3Statement Model'!H41</f>
        <v>0.20380595319245626</v>
      </c>
      <c r="I21" s="67">
        <f>'3Statement Model'!I10/'3Statement Model'!I41</f>
        <v>0.21119210410233791</v>
      </c>
      <c r="J21" s="67">
        <f>'3Statement Model'!J10/'3Statement Model'!J41</f>
        <v>0.26324315855441821</v>
      </c>
      <c r="K21" s="67">
        <f>'3Statement Model'!K10/'3Statement Model'!K41</f>
        <v>0.30048064085447262</v>
      </c>
      <c r="L21" s="67">
        <f>'3Statement Model'!L10/'3Statement Model'!L41</f>
        <v>0.42464869642068054</v>
      </c>
      <c r="M21" s="68">
        <f>'3Statement Model'!M10/'3Statement Model'!M41</f>
        <v>0.35094397578620379</v>
      </c>
      <c r="N21" s="68">
        <f>'3Statement Model'!N10/'3Statement Model'!N41</f>
        <v>0.36586196284094047</v>
      </c>
      <c r="O21" s="68">
        <f>'3Statement Model'!O10/'3Statement Model'!O41</f>
        <v>0.37937663898254914</v>
      </c>
      <c r="P21" s="68">
        <f>'3Statement Model'!P10/'3Statement Model'!P41</f>
        <v>0.39167712008075817</v>
      </c>
      <c r="Q21" s="68">
        <f>'3Statement Model'!Q10/'3Statement Model'!Q41</f>
        <v>0.40292000150792207</v>
      </c>
    </row>
    <row r="22" spans="2:17" ht="28.5" customHeight="1" x14ac:dyDescent="0.3">
      <c r="B22" s="66" t="s">
        <v>154</v>
      </c>
      <c r="C22" s="67">
        <f>'3Statement Model'!C7/'3Statement Model'!C48</f>
        <v>6.5476214798923955</v>
      </c>
      <c r="D22" s="67">
        <f>'3Statement Model'!D7/'3Statement Model'!D48</f>
        <v>9.1842974930734051</v>
      </c>
      <c r="E22" s="67">
        <f>'3Statement Model'!E7/'3Statement Model'!E48</f>
        <v>8.1096325719960269</v>
      </c>
      <c r="F22" s="67">
        <f>'3Statement Model'!F7/'3Statement Model'!F48</f>
        <v>7.0732863356832159</v>
      </c>
      <c r="G22" s="67">
        <f>'3Statement Model'!G7/'3Statement Model'!G48</f>
        <v>10.350041389546998</v>
      </c>
      <c r="H22" s="67">
        <f>'3Statement Model'!H7/'3Statement Model'!H48</f>
        <v>12.050832725845343</v>
      </c>
      <c r="I22" s="67">
        <f>'3Statement Model'!I7/'3Statement Model'!I48</f>
        <v>8.9688070243232225</v>
      </c>
      <c r="J22" s="67">
        <f>'3Statement Model'!J7/'3Statement Model'!J48</f>
        <v>11.718773311230834</v>
      </c>
      <c r="K22" s="67">
        <f>'3Statement Model'!K7/'3Statement Model'!K48</f>
        <v>11.062305171979254</v>
      </c>
      <c r="L22" s="67">
        <f>'3Statement Model'!L7/'3Statement Model'!L48</f>
        <v>12.204678210415395</v>
      </c>
      <c r="M22" s="68">
        <f>'3Statement Model'!M7/'3Statement Model'!M48</f>
        <v>11.966589551570133</v>
      </c>
      <c r="N22" s="68">
        <f>'3Statement Model'!N7/'3Statement Model'!N48</f>
        <v>12.139175022207699</v>
      </c>
      <c r="O22" s="68">
        <f>'3Statement Model'!O7/'3Statement Model'!O48</f>
        <v>12.289469855442759</v>
      </c>
      <c r="P22" s="68">
        <f>'3Statement Model'!P7/'3Statement Model'!P48</f>
        <v>12.421530577546168</v>
      </c>
      <c r="Q22" s="68">
        <f>'3Statement Model'!Q7/'3Statement Model'!Q48</f>
        <v>12.538485714356794</v>
      </c>
    </row>
    <row r="23" spans="2:17" ht="14.25" customHeight="1" x14ac:dyDescent="0.3">
      <c r="B23" s="66" t="s">
        <v>155</v>
      </c>
      <c r="C23" s="67">
        <f>'3Statement Model'!C10/SUM('3Statement Model'!C46,'3Statement Model'!C58)</f>
        <v>2.2037232340707907E-2</v>
      </c>
      <c r="D23" s="67">
        <f>'3Statement Model'!D10/SUM('3Statement Model'!D46,'3Statement Model'!D58)</f>
        <v>4.8181534397886902E-2</v>
      </c>
      <c r="E23" s="67">
        <f>'3Statement Model'!E10/SUM('3Statement Model'!E46,'3Statement Model'!E58)</f>
        <v>4.7568740969106016E-2</v>
      </c>
      <c r="F23" s="67">
        <f>'3Statement Model'!F10/SUM('3Statement Model'!F46,'3Statement Model'!F58)</f>
        <v>6.1999621167419208E-2</v>
      </c>
      <c r="G23" s="67">
        <f>'3Statement Model'!G10/SUM('3Statement Model'!G46,'3Statement Model'!G58)</f>
        <v>4.6454736383311927E-2</v>
      </c>
      <c r="H23" s="67">
        <f>'3Statement Model'!H10/SUM('3Statement Model'!H46,'3Statement Model'!H58)</f>
        <v>5.3200480906961597E-2</v>
      </c>
      <c r="I23" s="67">
        <f>'3Statement Model'!I10/SUM('3Statement Model'!I46,'3Statement Model'!I58)</f>
        <v>4.1724420863931619E-2</v>
      </c>
      <c r="J23" s="67">
        <f>'3Statement Model'!J10/SUM('3Statement Model'!J46,'3Statement Model'!J58)</f>
        <v>3.9663434678534955E-2</v>
      </c>
      <c r="K23" s="67">
        <f>'3Statement Model'!K10/SUM('3Statement Model'!K46,'3Statement Model'!K58)</f>
        <v>4.6450026462085514E-2</v>
      </c>
      <c r="L23" s="67">
        <f>'3Statement Model'!L10/SUM('3Statement Model'!L46,'3Statement Model'!L58)</f>
        <v>5.5354983169661205E-2</v>
      </c>
      <c r="M23" s="68">
        <f>'3Statement Model'!M10/SUM('3Statement Model'!M46,'3Statement Model'!M58)</f>
        <v>4.957521337776085E-2</v>
      </c>
      <c r="N23" s="68">
        <f>'3Statement Model'!N10/SUM('3Statement Model'!N46,'3Statement Model'!N58)</f>
        <v>4.9767413592016786E-2</v>
      </c>
      <c r="O23" s="68">
        <f>'3Statement Model'!O10/SUM('3Statement Model'!O46,'3Statement Model'!O58)</f>
        <v>4.992963579605824E-2</v>
      </c>
      <c r="P23" s="68">
        <f>'3Statement Model'!P10/SUM('3Statement Model'!P46,'3Statement Model'!P58)</f>
        <v>5.0068386224373686E-2</v>
      </c>
      <c r="Q23" s="68">
        <f>'3Statement Model'!Q10/SUM('3Statement Model'!Q46,'3Statement Model'!Q58)</f>
        <v>5.0188415368156242E-2</v>
      </c>
    </row>
    <row r="24" spans="2:17" ht="14.25" customHeight="1" x14ac:dyDescent="0.3">
      <c r="B24" s="6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2:17" ht="14.25" customHeight="1" x14ac:dyDescent="0.3">
      <c r="B25" s="69" t="s">
        <v>156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2:17" ht="14.25" customHeight="1" x14ac:dyDescent="0.3">
      <c r="B26" s="66" t="s">
        <v>157</v>
      </c>
      <c r="C26" s="67">
        <f>'3Statement Model'!C56/SUM('3Statement Model'!C40:C42)</f>
        <v>0.29963130434782609</v>
      </c>
      <c r="D26" s="67">
        <f>'3Statement Model'!D56/SUM('3Statement Model'!D40:D42)</f>
        <v>0.23816576519249127</v>
      </c>
      <c r="E26" s="67">
        <f>'3Statement Model'!E56/SUM('3Statement Model'!E40:E42)</f>
        <v>0.30424710424710427</v>
      </c>
      <c r="F26" s="67">
        <f>'3Statement Model'!F56/SUM('3Statement Model'!F40:F42)</f>
        <v>0.29220861428374845</v>
      </c>
      <c r="G26" s="67">
        <f>'3Statement Model'!G56/SUM('3Statement Model'!G40:G42)</f>
        <v>0.57185603112840466</v>
      </c>
      <c r="H26" s="67">
        <f>'3Statement Model'!H56/SUM('3Statement Model'!H40:H42)</f>
        <v>0.70849293563579274</v>
      </c>
      <c r="I26" s="67">
        <f>'3Statement Model'!I56/SUM('3Statement Model'!I40:I42)</f>
        <v>1.0708781070226854</v>
      </c>
      <c r="J26" s="67">
        <f>'3Statement Model'!J56/SUM('3Statement Model'!J40:J42)</f>
        <v>1.4145025278058645</v>
      </c>
      <c r="K26" s="67">
        <f>'3Statement Model'!K56/SUM('3Statement Model'!K40:K42)</f>
        <v>1.1965618623631979</v>
      </c>
      <c r="L26" s="67">
        <f>'3Statement Model'!L56/SUM('3Statement Model'!L40:L42)</f>
        <v>1.5086926980304463</v>
      </c>
      <c r="M26" s="68">
        <f>'3Statement Model'!M56/SUM('3Statement Model'!M40:M42)</f>
        <v>1.4607440684453721</v>
      </c>
      <c r="N26" s="68">
        <f>'3Statement Model'!N56/SUM('3Statement Model'!N40:N42)</f>
        <v>1.5345703281877168</v>
      </c>
      <c r="O26" s="68">
        <f>'3Statement Model'!O56/SUM('3Statement Model'!O40:O42)</f>
        <v>1.6013224817799829</v>
      </c>
      <c r="P26" s="68">
        <f>'3Statement Model'!P56/SUM('3Statement Model'!P40:P42)</f>
        <v>1.6619708142836593</v>
      </c>
      <c r="Q26" s="68">
        <f>'3Statement Model'!Q56/SUM('3Statement Model'!Q40:Q42)</f>
        <v>1.7173159230352124</v>
      </c>
    </row>
    <row r="27" spans="2:17" ht="14.25" customHeight="1" x14ac:dyDescent="0.3">
      <c r="B27" s="66" t="s">
        <v>158</v>
      </c>
      <c r="C27" s="67">
        <f>('3Statement Model'!C56-'3Statement Model'!C54)/SUM('3Statement Model'!C40:C42)</f>
        <v>0.29960000000000003</v>
      </c>
      <c r="D27" s="67">
        <f>('3Statement Model'!D56-'3Statement Model'!D54)/SUM('3Statement Model'!D40:D42)</f>
        <v>0.23816576519249127</v>
      </c>
      <c r="E27" s="67">
        <f>('3Statement Model'!E56-'3Statement Model'!E54)/SUM('3Statement Model'!E40:E42)</f>
        <v>0.30424710424710427</v>
      </c>
      <c r="F27" s="67">
        <f>('3Statement Model'!F56-'3Statement Model'!F54)/SUM('3Statement Model'!F40:F42)</f>
        <v>0.29220861428374845</v>
      </c>
      <c r="G27" s="67">
        <f>('3Statement Model'!G56-'3Statement Model'!G54)/SUM('3Statement Model'!G40:G42)</f>
        <v>0.57185603112840466</v>
      </c>
      <c r="H27" s="67">
        <f>('3Statement Model'!H56-'3Statement Model'!H54)/SUM('3Statement Model'!H40:H42)</f>
        <v>0.70849293563579274</v>
      </c>
      <c r="I27" s="67">
        <f>('3Statement Model'!I56-'3Statement Model'!I54)/SUM('3Statement Model'!I40:I42)</f>
        <v>1.0708781070226854</v>
      </c>
      <c r="J27" s="67">
        <f>('3Statement Model'!J56-'3Statement Model'!J54)/SUM('3Statement Model'!J40:J42)</f>
        <v>1.4145025278058645</v>
      </c>
      <c r="K27" s="67">
        <f>('3Statement Model'!K56-'3Statement Model'!K54)/SUM('3Statement Model'!K40:K42)</f>
        <v>1.1965618623631979</v>
      </c>
      <c r="L27" s="67">
        <f>('3Statement Model'!L56-'3Statement Model'!L54)/SUM('3Statement Model'!L40:L42)</f>
        <v>1.5086926980304463</v>
      </c>
      <c r="M27" s="68">
        <f>('3Statement Model'!M56-'3Statement Model'!M54)/SUM('3Statement Model'!M40:M42)</f>
        <v>1.4607440684453721</v>
      </c>
      <c r="N27" s="68">
        <f>('3Statement Model'!N56-'3Statement Model'!N54)/SUM('3Statement Model'!N40:N42)</f>
        <v>1.5345703281877168</v>
      </c>
      <c r="O27" s="68">
        <f>('3Statement Model'!O56-'3Statement Model'!O54)/SUM('3Statement Model'!O40:O42)</f>
        <v>1.6013224817799829</v>
      </c>
      <c r="P27" s="68">
        <f>('3Statement Model'!P56-'3Statement Model'!P54)/SUM('3Statement Model'!P40:P42)</f>
        <v>1.6619708142836593</v>
      </c>
      <c r="Q27" s="68">
        <f>('3Statement Model'!Q56-'3Statement Model'!Q54)/SUM('3Statement Model'!Q40:Q42)</f>
        <v>1.7173159230352124</v>
      </c>
    </row>
    <row r="28" spans="2:17" ht="14.25" customHeight="1" x14ac:dyDescent="0.3">
      <c r="B28" s="66" t="s">
        <v>159</v>
      </c>
      <c r="C28" s="67">
        <f>'3Statement Model'!C55/SUM('3Statement Model'!C40:C42)</f>
        <v>8.0438260869565209E-2</v>
      </c>
      <c r="D28" s="67">
        <f>'3Statement Model'!D55/SUM('3Statement Model'!D40:D42)</f>
        <v>7.2179446388800514E-2</v>
      </c>
      <c r="E28" s="67">
        <f>'3Statement Model'!E55/SUM('3Statement Model'!E40:E42)</f>
        <v>9.5017926089354665E-2</v>
      </c>
      <c r="F28" s="67">
        <f>'3Statement Model'!F55/SUM('3Statement Model'!F40:F42)</f>
        <v>0.18961744874088346</v>
      </c>
      <c r="G28" s="67">
        <f>'3Statement Model'!G55/SUM('3Statement Model'!G40:G42)</f>
        <v>0.45366796368352791</v>
      </c>
      <c r="H28" s="67">
        <f>'3Statement Model'!H55/SUM('3Statement Model'!H40:H42)</f>
        <v>0.59601368019735368</v>
      </c>
      <c r="I28" s="67">
        <f>'3Statement Model'!I55/SUM('3Statement Model'!I40:I42)</f>
        <v>0.95917833496146743</v>
      </c>
      <c r="J28" s="67">
        <f>'3Statement Model'!J55/SUM('3Statement Model'!J40:J42)</f>
        <v>1.2205571284125378</v>
      </c>
      <c r="K28" s="67">
        <f>'3Statement Model'!K55/SUM('3Statement Model'!K40:K42)</f>
        <v>0.97363476163976992</v>
      </c>
      <c r="L28" s="67">
        <f>'3Statement Model'!L55/SUM('3Statement Model'!L40:L42)</f>
        <v>1.1596680141051001</v>
      </c>
      <c r="M28" s="68">
        <f>'3Statement Model'!M55/SUM('3Statement Model'!M40:M42)</f>
        <v>1.2228930354811698</v>
      </c>
      <c r="N28" s="68">
        <f>'3Statement Model'!N55/SUM('3Statement Model'!N40:N42)</f>
        <v>1.2905770734231026</v>
      </c>
      <c r="O28" s="68">
        <f>'3Statement Model'!O55/SUM('3Statement Model'!O40:O42)</f>
        <v>1.3517755590596872</v>
      </c>
      <c r="P28" s="68">
        <f>'3Statement Model'!P55/SUM('3Statement Model'!P40:P42)</f>
        <v>1.4073780513519967</v>
      </c>
      <c r="Q28" s="68">
        <f>'3Statement Model'!Q55/SUM('3Statement Model'!Q40:Q42)</f>
        <v>1.4581185392720681</v>
      </c>
    </row>
    <row r="29" spans="2:17" ht="14.25" customHeight="1" x14ac:dyDescent="0.3">
      <c r="B29" s="66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2:17" ht="14.25" customHeight="1" x14ac:dyDescent="0.3">
      <c r="B30" s="69" t="s">
        <v>160</v>
      </c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2:17" ht="14.25" customHeight="1" x14ac:dyDescent="0.3">
      <c r="B31" s="66" t="s">
        <v>161</v>
      </c>
      <c r="C31" s="67">
        <f>'3Statement Model'!C32/Data!B93</f>
        <v>6.777950848044302</v>
      </c>
      <c r="D31" s="67">
        <f>'3Statement Model'!D32/Data!C93</f>
        <v>10.722384973289678</v>
      </c>
      <c r="E31" s="67">
        <f>'3Statement Model'!E32/Data!D93</f>
        <v>4.6924661060580046</v>
      </c>
      <c r="F31" s="67">
        <f>'3Statement Model'!F32/Data!E93</f>
        <v>3.509539084923178</v>
      </c>
      <c r="G31" s="67">
        <f>'3Statement Model'!G32/Data!F93</f>
        <v>21.873316283034953</v>
      </c>
      <c r="H31" s="67">
        <f>'3Statement Model'!H32/Data!G93</f>
        <v>21.615629716585609</v>
      </c>
      <c r="I31" s="67">
        <f>'3Statement Model'!I32/Data!H93</f>
        <v>15.435282189929026</v>
      </c>
      <c r="J31" s="67">
        <f>'3Statement Model'!J32/Data!I93</f>
        <v>40.007550335570478</v>
      </c>
      <c r="K31" s="67">
        <f>'3Statement Model'!K32/Data!J93</f>
        <v>40.55564825629903</v>
      </c>
      <c r="L31" s="67">
        <f>'3Statement Model'!L32/Data!K93</f>
        <v>30.410034889516528</v>
      </c>
      <c r="M31" s="68">
        <f>FORECAST(M3,$C31:$L31,$C$3:$L$3)</f>
        <v>40.677810844505984</v>
      </c>
      <c r="N31" s="68">
        <f>FORECAST(N3,$C31:$L31,$C$3:$L$3)</f>
        <v>44.515504725664073</v>
      </c>
      <c r="O31" s="68">
        <f>FORECAST(O3,$C31:$L31,$C$3:$L$3)</f>
        <v>48.353198606822161</v>
      </c>
      <c r="P31" s="68">
        <f>FORECAST(P3,$C31:$L31,$C$3:$L$3)</f>
        <v>52.19089248798025</v>
      </c>
      <c r="Q31" s="68">
        <f>FORECAST(Q3,$C31:$L31,$C$3:$L$3)</f>
        <v>56.028586369138338</v>
      </c>
    </row>
    <row r="32" spans="2:17" ht="14.25" customHeight="1" x14ac:dyDescent="0.3">
      <c r="B32" s="66" t="s">
        <v>162</v>
      </c>
      <c r="C32" s="67">
        <f>Data!B90/'Ratio Analysis'!C31</f>
        <v>26.792758471005811</v>
      </c>
      <c r="D32" s="67">
        <f>Data!C90/'Ratio Analysis'!D31</f>
        <v>23.370733341904792</v>
      </c>
      <c r="E32" s="67">
        <f>Data!D90/'Ratio Analysis'!E31</f>
        <v>32.079080934791364</v>
      </c>
      <c r="F32" s="67">
        <f>Data!E90/'Ratio Analysis'!F31</f>
        <v>35.406358781931047</v>
      </c>
      <c r="G32" s="67">
        <f>Data!F90/'Ratio Analysis'!G31</f>
        <v>7.1411210800782614</v>
      </c>
      <c r="H32" s="67">
        <f>Data!G90/'Ratio Analysis'!H31</f>
        <v>10.061700854966098</v>
      </c>
      <c r="I32" s="67">
        <f>Data!H90/'Ratio Analysis'!I31</f>
        <v>9.8851448339281447</v>
      </c>
      <c r="J32" s="67">
        <f>Data!I90/'Ratio Analysis'!J31</f>
        <v>10.415284027763214</v>
      </c>
      <c r="K32" s="67">
        <f>Data!J90/'Ratio Analysis'!K31</f>
        <v>15.172979016663234</v>
      </c>
      <c r="L32" s="67">
        <f>Data!K90/'Ratio Analysis'!L31</f>
        <v>20.807276357914752</v>
      </c>
      <c r="M32" s="68">
        <f>FORECAST(M4,$C32:$L32,$C$3:$L$3)</f>
        <v>235.45886917366201</v>
      </c>
      <c r="N32" s="68">
        <f>FORECAST(N4,$C32:$L32,$C$3:$L$3)</f>
        <v>235.45886917366201</v>
      </c>
      <c r="O32" s="68">
        <f>FORECAST(O4,$C32:$L32,$C$3:$L$3)</f>
        <v>235.45886917366201</v>
      </c>
      <c r="P32" s="68">
        <f>FORECAST(P4,$C32:$L32,$C$3:$L$3)</f>
        <v>235.45886917366201</v>
      </c>
      <c r="Q32" s="68">
        <f>FORECAST(Q4,$C32:$L32,$C$3:$L$3)</f>
        <v>235.45886917366201</v>
      </c>
    </row>
    <row r="33" spans="2:17" ht="14.25" customHeight="1" x14ac:dyDescent="0.3">
      <c r="B33" s="66" t="s">
        <v>163</v>
      </c>
      <c r="C33" s="67">
        <f t="array" ref="C33">SUM('3Statement Model'!C36:C37/Data!B93)</f>
        <v>30.91086881273797</v>
      </c>
      <c r="D33" s="67">
        <f t="array" ref="D33">SUM('3Statement Model'!D36:D37/Data!C93)</f>
        <v>49.731173530932274</v>
      </c>
      <c r="E33" s="67">
        <f t="array" ref="E33">SUM('3Statement Model'!E36:E37/Data!D93)</f>
        <v>52.40157885704479</v>
      </c>
      <c r="F33" s="67">
        <f t="array" ref="F33">SUM('3Statement Model'!F36:F37/Data!E93)</f>
        <v>52.107040351173389</v>
      </c>
      <c r="G33" s="67">
        <f t="array" ref="G33">SUM('3Statement Model'!G36:G37/Data!F93)</f>
        <v>76.06854219948849</v>
      </c>
      <c r="H33" s="67">
        <f t="array" ref="H33">SUM('3Statement Model'!H36:H37/Data!G93)</f>
        <v>95.159651182290787</v>
      </c>
      <c r="I33" s="67">
        <f t="array" ref="I33">SUM('3Statement Model'!I36:I37/Data!H93)</f>
        <v>105.64785400473133</v>
      </c>
      <c r="J33" s="67">
        <f t="array" ref="J33">SUM('3Statement Model'!J36:J37/Data!I93)</f>
        <v>146.5062080536913</v>
      </c>
      <c r="K33" s="67">
        <f t="array" ref="K33">SUM('3Statement Model'!K36:K37/Data!J93)</f>
        <v>184.87118304688804</v>
      </c>
      <c r="L33" s="67">
        <f t="array" ref="L33">SUM('3Statement Model'!L36:L37/Data!K93)</f>
        <v>214.12394085396247</v>
      </c>
      <c r="M33" s="68">
        <f>FORECAST(M5,$C33:$L33,$C$3:$L$3)</f>
        <v>-2293.6938211045931</v>
      </c>
      <c r="N33" s="68">
        <f>FORECAST(N5,$C33:$L33,$C$3:$L$3)</f>
        <v>-2293.6938211045931</v>
      </c>
      <c r="O33" s="68">
        <f>FORECAST(O5,$C33:$L33,$C$3:$L$3)</f>
        <v>-2293.6938211045931</v>
      </c>
      <c r="P33" s="68">
        <f>FORECAST(P5,$C33:$L33,$C$3:$L$3)</f>
        <v>-2293.6938211045931</v>
      </c>
      <c r="Q33" s="68">
        <f>FORECAST(Q5,$C33:$L33,$C$3:$L$3)</f>
        <v>-2293.6938211045931</v>
      </c>
    </row>
    <row r="34" spans="2:17" ht="14.25" customHeight="1" x14ac:dyDescent="0.3">
      <c r="B34" s="66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2:17" ht="14.25" customHeight="1" x14ac:dyDescent="0.3">
      <c r="B35" s="69" t="s">
        <v>164</v>
      </c>
    </row>
    <row r="36" spans="2:17" ht="14.25" customHeight="1" x14ac:dyDescent="0.3">
      <c r="B36" s="66" t="s">
        <v>165</v>
      </c>
    </row>
    <row r="37" spans="2:17" ht="14.25" customHeight="1" x14ac:dyDescent="0.3">
      <c r="B37" s="66" t="s">
        <v>166</v>
      </c>
      <c r="C37" s="70">
        <f t="shared" ref="C37:Q37" si="0">365/C20</f>
        <v>239.21163487341644</v>
      </c>
      <c r="D37" s="70">
        <f t="shared" si="0"/>
        <v>138.41886135483074</v>
      </c>
      <c r="E37" s="70">
        <f t="shared" si="0"/>
        <v>226.0585855864681</v>
      </c>
      <c r="F37" s="70">
        <f t="shared" si="0"/>
        <v>115.40809964883708</v>
      </c>
      <c r="G37" s="70">
        <f t="shared" si="0"/>
        <v>91.727901531469172</v>
      </c>
      <c r="H37" s="70">
        <f t="shared" si="0"/>
        <v>85.184641872477044</v>
      </c>
      <c r="I37" s="70">
        <f t="shared" si="0"/>
        <v>89.908910516640489</v>
      </c>
      <c r="J37" s="70">
        <f t="shared" si="0"/>
        <v>99.035102237122203</v>
      </c>
      <c r="K37" s="70">
        <f t="shared" si="0"/>
        <v>105.19932754084756</v>
      </c>
      <c r="L37" s="70">
        <f t="shared" si="0"/>
        <v>157.8884693813377</v>
      </c>
      <c r="M37" s="71">
        <f t="shared" si="0"/>
        <v>113.40623929538795</v>
      </c>
      <c r="N37" s="71">
        <f t="shared" si="0"/>
        <v>112.42108741111052</v>
      </c>
      <c r="O37" s="71">
        <f t="shared" si="0"/>
        <v>111.58571474928362</v>
      </c>
      <c r="P37" s="71">
        <f t="shared" si="0"/>
        <v>110.86837658730906</v>
      </c>
      <c r="Q37" s="71">
        <f t="shared" si="0"/>
        <v>110.24570703693365</v>
      </c>
    </row>
    <row r="38" spans="2:17" ht="14.25" customHeight="1" x14ac:dyDescent="0.3">
      <c r="B38" s="66" t="s">
        <v>167</v>
      </c>
      <c r="C38" s="70">
        <f t="shared" ref="C38:Q38" si="1">365/C21</f>
        <v>5578.9240200032264</v>
      </c>
      <c r="D38" s="70">
        <f t="shared" si="1"/>
        <v>2250.553196579152</v>
      </c>
      <c r="E38" s="70">
        <f t="shared" si="1"/>
        <v>2655.1514229188861</v>
      </c>
      <c r="F38" s="70">
        <f t="shared" si="1"/>
        <v>2103.5461787005338</v>
      </c>
      <c r="G38" s="70">
        <f t="shared" si="1"/>
        <v>2108.1689126002238</v>
      </c>
      <c r="H38" s="70">
        <f t="shared" si="1"/>
        <v>1790.919226266793</v>
      </c>
      <c r="I38" s="70">
        <f t="shared" si="1"/>
        <v>1728.2843103979446</v>
      </c>
      <c r="J38" s="70">
        <f t="shared" si="1"/>
        <v>1386.5507540798876</v>
      </c>
      <c r="K38" s="70">
        <f t="shared" si="1"/>
        <v>1214.7205189727183</v>
      </c>
      <c r="L38" s="70">
        <f t="shared" si="1"/>
        <v>859.53401735728107</v>
      </c>
      <c r="M38" s="71">
        <f t="shared" si="1"/>
        <v>1040.0520458637511</v>
      </c>
      <c r="N38" s="71">
        <f t="shared" si="1"/>
        <v>997.64402171177551</v>
      </c>
      <c r="O38" s="71">
        <f t="shared" si="1"/>
        <v>962.10457496511674</v>
      </c>
      <c r="P38" s="71">
        <f t="shared" si="1"/>
        <v>931.89002187501342</v>
      </c>
      <c r="Q38" s="71">
        <f t="shared" si="1"/>
        <v>905.8870213292787</v>
      </c>
    </row>
    <row r="39" spans="2:17" ht="14.25" customHeight="1" x14ac:dyDescent="0.3">
      <c r="B39" s="66"/>
    </row>
    <row r="40" spans="2:17" ht="14.25" customHeight="1" x14ac:dyDescent="0.3">
      <c r="B40" s="66" t="s">
        <v>168</v>
      </c>
      <c r="C40" s="72">
        <f t="shared" ref="C40:Q40" si="2">C37-C38</f>
        <v>-5339.7123851298102</v>
      </c>
      <c r="D40" s="72">
        <f t="shared" si="2"/>
        <v>-2112.1343352243211</v>
      </c>
      <c r="E40" s="72">
        <f t="shared" si="2"/>
        <v>-2429.0928373324177</v>
      </c>
      <c r="F40" s="72">
        <f t="shared" si="2"/>
        <v>-1988.1380790516966</v>
      </c>
      <c r="G40" s="72">
        <f t="shared" si="2"/>
        <v>-2016.4410110687547</v>
      </c>
      <c r="H40" s="72">
        <f t="shared" si="2"/>
        <v>-1705.734584394316</v>
      </c>
      <c r="I40" s="72">
        <f t="shared" si="2"/>
        <v>-1638.3753998813042</v>
      </c>
      <c r="J40" s="72">
        <f t="shared" si="2"/>
        <v>-1287.5156518427655</v>
      </c>
      <c r="K40" s="72">
        <f t="shared" si="2"/>
        <v>-1109.5211914318706</v>
      </c>
      <c r="L40" s="72">
        <f t="shared" si="2"/>
        <v>-701.64554797594337</v>
      </c>
      <c r="M40" s="73">
        <f t="shared" si="2"/>
        <v>-926.64580656836313</v>
      </c>
      <c r="N40" s="73">
        <f t="shared" si="2"/>
        <v>-885.22293430066497</v>
      </c>
      <c r="O40" s="73">
        <f t="shared" si="2"/>
        <v>-850.51886021583312</v>
      </c>
      <c r="P40" s="73">
        <f t="shared" si="2"/>
        <v>-821.02164528770436</v>
      </c>
      <c r="Q40" s="73">
        <f t="shared" si="2"/>
        <v>-795.64131429234499</v>
      </c>
    </row>
  </sheetData>
  <mergeCells count="1">
    <mergeCell ref="B2:Q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66"/>
  <sheetViews>
    <sheetView topLeftCell="A41" zoomScale="89" workbookViewId="0">
      <selection activeCell="P13" sqref="P13"/>
    </sheetView>
  </sheetViews>
  <sheetFormatPr defaultRowHeight="14.4" x14ac:dyDescent="0.3"/>
  <cols>
    <col min="1" max="1" width="22.21875" customWidth="1"/>
    <col min="2" max="2" width="27.109375" bestFit="1" customWidth="1"/>
    <col min="3" max="3" width="9.44140625" bestFit="1" customWidth="1"/>
    <col min="4" max="4" width="20.6640625" customWidth="1"/>
    <col min="5" max="5" width="12" customWidth="1"/>
    <col min="6" max="6" width="11.5546875" bestFit="1" customWidth="1"/>
    <col min="7" max="10" width="9.5546875" bestFit="1" customWidth="1"/>
    <col min="11" max="11" width="10.5546875" bestFit="1" customWidth="1"/>
  </cols>
  <sheetData>
    <row r="1" spans="1:8" x14ac:dyDescent="0.3">
      <c r="A1" s="97" t="s">
        <v>169</v>
      </c>
      <c r="B1" s="97" t="s">
        <v>170</v>
      </c>
    </row>
    <row r="2" spans="1:8" x14ac:dyDescent="0.3">
      <c r="A2" s="142" t="s">
        <v>171</v>
      </c>
      <c r="B2" s="128"/>
      <c r="D2" s="103" t="s">
        <v>172</v>
      </c>
      <c r="E2" s="103" t="s">
        <v>173</v>
      </c>
    </row>
    <row r="3" spans="1:8" x14ac:dyDescent="0.3">
      <c r="A3" s="41" t="s">
        <v>174</v>
      </c>
      <c r="B3" s="41" t="s">
        <v>175</v>
      </c>
      <c r="D3" s="41" t="s">
        <v>176</v>
      </c>
      <c r="E3" s="109">
        <v>6.25E-2</v>
      </c>
      <c r="G3" s="41" t="s">
        <v>177</v>
      </c>
      <c r="H3">
        <f>'3Statement Model'!K38</f>
        <v>14731.61</v>
      </c>
    </row>
    <row r="4" spans="1:8" x14ac:dyDescent="0.3">
      <c r="A4" s="41" t="s">
        <v>178</v>
      </c>
      <c r="B4" s="109">
        <f>O19</f>
        <v>0.23148937759890265</v>
      </c>
      <c r="D4" s="41" t="s">
        <v>179</v>
      </c>
      <c r="E4" s="109">
        <v>4.1200000000000001E-2</v>
      </c>
      <c r="G4" s="41" t="s">
        <v>93</v>
      </c>
      <c r="H4">
        <f>Data!B9</f>
        <v>56479.09</v>
      </c>
    </row>
    <row r="5" spans="1:8" x14ac:dyDescent="0.3">
      <c r="A5" s="41" t="s">
        <v>180</v>
      </c>
      <c r="B5" s="107">
        <v>0.15</v>
      </c>
      <c r="D5" s="41" t="s">
        <v>181</v>
      </c>
      <c r="E5" s="41">
        <v>0.8</v>
      </c>
      <c r="G5" t="s">
        <v>182</v>
      </c>
      <c r="H5">
        <f>SUM(H3:H4)</f>
        <v>71210.7</v>
      </c>
    </row>
    <row r="6" spans="1:8" x14ac:dyDescent="0.3">
      <c r="A6" s="41" t="s">
        <v>183</v>
      </c>
      <c r="B6" s="107">
        <v>0.13</v>
      </c>
      <c r="D6" s="41" t="s">
        <v>184</v>
      </c>
      <c r="E6" s="109">
        <f>E3+(E5*E4)</f>
        <v>9.5460000000000003E-2</v>
      </c>
      <c r="G6" t="s">
        <v>185</v>
      </c>
      <c r="H6">
        <f>H4/H5</f>
        <v>0.7931264543109392</v>
      </c>
    </row>
    <row r="7" spans="1:8" x14ac:dyDescent="0.3">
      <c r="A7" s="41" t="s">
        <v>186</v>
      </c>
      <c r="B7" s="107">
        <v>0.11</v>
      </c>
      <c r="D7" s="41" t="s">
        <v>187</v>
      </c>
      <c r="E7" s="102">
        <v>0.08</v>
      </c>
      <c r="G7" t="s">
        <v>188</v>
      </c>
      <c r="H7">
        <f>H3/H5</f>
        <v>0.2068735456890608</v>
      </c>
    </row>
    <row r="8" spans="1:8" x14ac:dyDescent="0.3">
      <c r="A8" s="41" t="s">
        <v>189</v>
      </c>
      <c r="B8" s="107">
        <v>0.09</v>
      </c>
      <c r="D8" s="41" t="s">
        <v>25</v>
      </c>
      <c r="E8" s="102">
        <v>0.25</v>
      </c>
      <c r="G8" t="s">
        <v>190</v>
      </c>
      <c r="H8" s="15">
        <f>(E6*H6)+(E9*H7)</f>
        <v>8.8124264069865912E-2</v>
      </c>
    </row>
    <row r="9" spans="1:8" x14ac:dyDescent="0.3">
      <c r="A9" s="41" t="s">
        <v>191</v>
      </c>
      <c r="B9" s="107">
        <v>0.08</v>
      </c>
      <c r="D9" s="41" t="s">
        <v>192</v>
      </c>
      <c r="E9" s="15">
        <f>E7*(1-E8)</f>
        <v>0.06</v>
      </c>
    </row>
    <row r="10" spans="1:8" x14ac:dyDescent="0.3">
      <c r="A10" s="41" t="s">
        <v>193</v>
      </c>
      <c r="B10" s="109">
        <f>AVERAGE(B22:F22)</f>
        <v>0.51146340822793157</v>
      </c>
      <c r="D10" s="41" t="s">
        <v>194</v>
      </c>
      <c r="E10" s="12">
        <v>0.04</v>
      </c>
    </row>
    <row r="11" spans="1:8" x14ac:dyDescent="0.3">
      <c r="A11" s="41" t="s">
        <v>195</v>
      </c>
      <c r="B11" s="102">
        <v>0.25</v>
      </c>
    </row>
    <row r="12" spans="1:8" x14ac:dyDescent="0.3">
      <c r="A12" s="41" t="s">
        <v>196</v>
      </c>
      <c r="B12" s="102">
        <f>AVERAGE(B24:F24)</f>
        <v>6.9655293675854272E-3</v>
      </c>
    </row>
    <row r="13" spans="1:8" x14ac:dyDescent="0.3">
      <c r="A13" s="41" t="s">
        <v>197</v>
      </c>
      <c r="B13" s="110">
        <v>1.4999999999999999E-2</v>
      </c>
    </row>
    <row r="14" spans="1:8" x14ac:dyDescent="0.3">
      <c r="A14" s="41" t="s">
        <v>198</v>
      </c>
      <c r="B14" s="111">
        <v>5.0000000000000001E-3</v>
      </c>
    </row>
    <row r="15" spans="1:8" x14ac:dyDescent="0.3">
      <c r="A15" s="41" t="s">
        <v>199</v>
      </c>
      <c r="B15" s="41"/>
    </row>
    <row r="17" spans="1:19" x14ac:dyDescent="0.3">
      <c r="A17" s="41"/>
      <c r="G17" s="141" t="s">
        <v>200</v>
      </c>
      <c r="H17" s="128"/>
      <c r="I17" s="128"/>
      <c r="J17" s="128"/>
      <c r="K17" s="128"/>
    </row>
    <row r="18" spans="1:19" x14ac:dyDescent="0.3">
      <c r="A18" s="104" t="s">
        <v>74</v>
      </c>
      <c r="B18" s="100" t="s">
        <v>201</v>
      </c>
      <c r="C18" s="100" t="s">
        <v>202</v>
      </c>
      <c r="D18" s="100" t="s">
        <v>203</v>
      </c>
      <c r="E18" s="100" t="s">
        <v>204</v>
      </c>
      <c r="F18" s="100" t="s">
        <v>175</v>
      </c>
      <c r="G18" s="100" t="s">
        <v>205</v>
      </c>
      <c r="H18" s="100" t="s">
        <v>206</v>
      </c>
      <c r="I18" s="100" t="s">
        <v>207</v>
      </c>
      <c r="J18" s="100" t="s">
        <v>208</v>
      </c>
      <c r="K18" s="100" t="s">
        <v>209</v>
      </c>
    </row>
    <row r="19" spans="1:19" x14ac:dyDescent="0.3">
      <c r="A19" s="41" t="s">
        <v>210</v>
      </c>
      <c r="B19">
        <f>'3Statement Model'!G7</f>
        <v>3625.93</v>
      </c>
      <c r="C19">
        <f>'3Statement Model'!H7</f>
        <v>4298.05</v>
      </c>
      <c r="D19">
        <f>'3Statement Model'!I7</f>
        <v>4177.76</v>
      </c>
      <c r="E19">
        <f>'3Statement Model'!J7</f>
        <v>7069.35</v>
      </c>
      <c r="F19">
        <f>'3Statement Model'!K7</f>
        <v>8339.5400000000009</v>
      </c>
      <c r="G19">
        <f>F19*(1+$B5)</f>
        <v>9590.4709999999995</v>
      </c>
      <c r="H19">
        <f>G19*(1+$B5)</f>
        <v>11029.041649999999</v>
      </c>
      <c r="I19">
        <f>H19*(1+$B5)</f>
        <v>12683.397897499997</v>
      </c>
      <c r="J19">
        <f>I19*(1+$B5)</f>
        <v>14585.907582124995</v>
      </c>
      <c r="K19">
        <f>J19*(1+$B5)</f>
        <v>16773.793719443744</v>
      </c>
      <c r="N19" s="105" t="s">
        <v>211</v>
      </c>
      <c r="O19" s="106">
        <f>(F19/B19)^(1/4)-1</f>
        <v>0.23148937759890265</v>
      </c>
      <c r="P19" s="101"/>
      <c r="Q19" s="101"/>
      <c r="R19" s="101"/>
      <c r="S19" s="101"/>
    </row>
    <row r="20" spans="1:19" s="108" customFormat="1" x14ac:dyDescent="0.3">
      <c r="A20" s="107" t="s">
        <v>212</v>
      </c>
      <c r="C20" s="108">
        <f>(C19/B19)-1</f>
        <v>0.18536485811915848</v>
      </c>
      <c r="D20" s="108">
        <f>(D19/C19)-1</f>
        <v>-2.798711043380131E-2</v>
      </c>
      <c r="E20" s="108">
        <f>(E19/D19)-1</f>
        <v>0.69213884952701932</v>
      </c>
      <c r="F20" s="108">
        <f>(F19/E19)-1</f>
        <v>0.17967564203215303</v>
      </c>
    </row>
    <row r="21" spans="1:19" x14ac:dyDescent="0.3">
      <c r="A21" s="41" t="s">
        <v>86</v>
      </c>
      <c r="B21">
        <f>'3Statement Model'!G22</f>
        <v>1968.61</v>
      </c>
      <c r="C21">
        <f>'3Statement Model'!H22</f>
        <v>2072.2199999999998</v>
      </c>
      <c r="D21">
        <f>'3Statement Model'!I22</f>
        <v>1818.72</v>
      </c>
      <c r="E21">
        <f>'3Statement Model'!J22</f>
        <v>3984.8500000000004</v>
      </c>
      <c r="F21">
        <f>'3Statement Model'!K22</f>
        <v>4447.0400000000009</v>
      </c>
      <c r="G21">
        <f>G19*G22</f>
        <v>4905.1749841711389</v>
      </c>
      <c r="H21">
        <f>H19*H22</f>
        <v>5640.9512317968092</v>
      </c>
      <c r="I21">
        <f>I19*I22</f>
        <v>6487.0939165663303</v>
      </c>
      <c r="J21">
        <f>J19*J22</f>
        <v>7460.158004051279</v>
      </c>
      <c r="K21">
        <f>K19*K22</f>
        <v>8579.1817046589695</v>
      </c>
    </row>
    <row r="22" spans="1:19" x14ac:dyDescent="0.3">
      <c r="A22" s="41" t="s">
        <v>193</v>
      </c>
      <c r="B22" s="15">
        <f>B21/B19</f>
        <v>0.54292553910307151</v>
      </c>
      <c r="C22" s="15">
        <f>C21/C19</f>
        <v>0.48213026837751999</v>
      </c>
      <c r="D22" s="15">
        <f>D21/D19</f>
        <v>0.43533376737773349</v>
      </c>
      <c r="E22" s="15">
        <f>E21/E19</f>
        <v>0.56367982912148928</v>
      </c>
      <c r="F22" s="15">
        <f>F21/F19</f>
        <v>0.53324763715984336</v>
      </c>
      <c r="G22" s="15">
        <f>$B$10</f>
        <v>0.51146340822793157</v>
      </c>
      <c r="H22" s="15">
        <f>$B$10</f>
        <v>0.51146340822793157</v>
      </c>
      <c r="I22" s="15">
        <f>$B$10</f>
        <v>0.51146340822793157</v>
      </c>
      <c r="J22" s="15">
        <f>$B$10</f>
        <v>0.51146340822793157</v>
      </c>
      <c r="K22" s="15">
        <f>$B$10</f>
        <v>0.51146340822793157</v>
      </c>
    </row>
    <row r="23" spans="1:19" x14ac:dyDescent="0.3">
      <c r="A23" s="41" t="s">
        <v>213</v>
      </c>
      <c r="B23">
        <f>'3Statement Model'!C20</f>
        <v>32.840000000000003</v>
      </c>
      <c r="C23">
        <f>'3Statement Model'!D20</f>
        <v>37.49</v>
      </c>
      <c r="D23">
        <f>'3Statement Model'!E20</f>
        <v>23.95</v>
      </c>
      <c r="E23">
        <f>'3Statement Model'!F20</f>
        <v>39.71</v>
      </c>
      <c r="F23">
        <f>'3Statement Model'!G20</f>
        <v>47.52</v>
      </c>
      <c r="G23">
        <f>G19*G24</f>
        <v>66.802707399476375</v>
      </c>
      <c r="H23">
        <f>H19*H24</f>
        <v>76.823113509397828</v>
      </c>
      <c r="I23">
        <f>I19*I24</f>
        <v>88.34658053580749</v>
      </c>
      <c r="J23">
        <f>J19*J24</f>
        <v>101.59856761617861</v>
      </c>
      <c r="K23">
        <f>K19*K24</f>
        <v>116.8383527586054</v>
      </c>
    </row>
    <row r="24" spans="1:19" x14ac:dyDescent="0.3">
      <c r="A24" s="41" t="s">
        <v>214</v>
      </c>
      <c r="B24" s="108">
        <f>DCF!B23/DCF!B19</f>
        <v>9.0569867592590059E-3</v>
      </c>
      <c r="C24" s="108">
        <f>DCF!C23/DCF!C19</f>
        <v>8.7225602308023415E-3</v>
      </c>
      <c r="D24" s="108">
        <f>DCF!D23/DCF!D19</f>
        <v>5.7327371605836617E-3</v>
      </c>
      <c r="E24" s="108">
        <f>DCF!E23/DCF!E19</f>
        <v>5.6172066738809081E-3</v>
      </c>
      <c r="F24" s="108">
        <f>DCF!F23/DCF!F19</f>
        <v>5.6981560134012187E-3</v>
      </c>
      <c r="G24" s="12">
        <f>$B$12</f>
        <v>6.9655293675854272E-3</v>
      </c>
      <c r="H24" s="12">
        <f>$B$12</f>
        <v>6.9655293675854272E-3</v>
      </c>
      <c r="I24" s="12">
        <f>$B$12</f>
        <v>6.9655293675854272E-3</v>
      </c>
      <c r="J24" s="12">
        <f>$B$12</f>
        <v>6.9655293675854272E-3</v>
      </c>
      <c r="K24" s="12">
        <f>$B$12</f>
        <v>6.9655293675854272E-3</v>
      </c>
    </row>
    <row r="25" spans="1:19" x14ac:dyDescent="0.3">
      <c r="A25" s="41" t="s">
        <v>215</v>
      </c>
      <c r="G25" s="12">
        <v>0.25</v>
      </c>
      <c r="H25" s="12">
        <v>0.25</v>
      </c>
      <c r="I25" s="12">
        <v>0.25</v>
      </c>
      <c r="J25" s="12">
        <v>0.25</v>
      </c>
      <c r="K25" s="12">
        <v>0.25</v>
      </c>
    </row>
    <row r="26" spans="1:19" x14ac:dyDescent="0.3">
      <c r="A26" s="41" t="s">
        <v>216</v>
      </c>
      <c r="G26" s="72">
        <f>G25*G21</f>
        <v>1226.2937460427847</v>
      </c>
      <c r="H26" s="72">
        <f>H25*H21</f>
        <v>1410.2378079492023</v>
      </c>
      <c r="I26" s="72">
        <f>I25*I21</f>
        <v>1621.7734791415826</v>
      </c>
      <c r="J26" s="72">
        <f>J25*J21</f>
        <v>1865.0395010128198</v>
      </c>
      <c r="K26" s="72">
        <f>K25*K21</f>
        <v>2144.7954261647424</v>
      </c>
    </row>
    <row r="27" spans="1:19" x14ac:dyDescent="0.3">
      <c r="A27" s="41" t="s">
        <v>217</v>
      </c>
      <c r="G27" s="72">
        <f>G21-G26</f>
        <v>3678.8812381283542</v>
      </c>
      <c r="H27" s="72">
        <f>H21-H26</f>
        <v>4230.7134238476065</v>
      </c>
      <c r="I27" s="72">
        <f>I21-I26</f>
        <v>4865.320437424748</v>
      </c>
      <c r="J27" s="72">
        <f>J21-J26</f>
        <v>5595.1185030384595</v>
      </c>
      <c r="K27" s="72">
        <f>K21-K26</f>
        <v>6434.3862784942266</v>
      </c>
    </row>
    <row r="28" spans="1:19" x14ac:dyDescent="0.3">
      <c r="A28" s="41" t="s">
        <v>218</v>
      </c>
      <c r="G28" s="72">
        <f>$B$13*G19</f>
        <v>143.85706499999998</v>
      </c>
      <c r="H28" s="72">
        <f>$B$13*H19</f>
        <v>165.43562474999999</v>
      </c>
      <c r="I28" s="72">
        <f>$B$13*I19</f>
        <v>190.25096846249994</v>
      </c>
      <c r="J28" s="72">
        <f>$B$13*J19</f>
        <v>218.78861373187493</v>
      </c>
      <c r="K28" s="72">
        <f>$B$13*K19</f>
        <v>251.60690579165615</v>
      </c>
    </row>
    <row r="29" spans="1:19" x14ac:dyDescent="0.3">
      <c r="A29" s="113" t="s">
        <v>219</v>
      </c>
      <c r="B29" s="112"/>
      <c r="C29" s="112"/>
      <c r="D29" s="112"/>
      <c r="E29" s="112"/>
      <c r="F29" s="112"/>
      <c r="G29" s="72">
        <f>(G19-F19)*$B$14</f>
        <v>6.2546549999999934</v>
      </c>
      <c r="H29" s="72">
        <f>(H19-G19)*$B$14</f>
        <v>7.1928532499999989</v>
      </c>
      <c r="I29" s="72">
        <f>(I19-H19)*$B$14</f>
        <v>8.2717812374999902</v>
      </c>
      <c r="J29" s="72">
        <f>(J19-I19)*$B$14</f>
        <v>9.5125484231249899</v>
      </c>
      <c r="K29" s="72">
        <f>(K19-J19)*$B$14</f>
        <v>10.939430686593742</v>
      </c>
    </row>
    <row r="30" spans="1:19" x14ac:dyDescent="0.3">
      <c r="A30" s="114" t="s">
        <v>220</v>
      </c>
      <c r="B30" s="115"/>
      <c r="C30" s="115"/>
      <c r="D30" s="115"/>
      <c r="E30" s="115"/>
      <c r="F30" s="115"/>
      <c r="G30" s="116">
        <f>G27+G23-G28-G29</f>
        <v>3595.5722255278301</v>
      </c>
      <c r="H30" s="116">
        <f>H27+H23-H28-H29</f>
        <v>4134.9080593570043</v>
      </c>
      <c r="I30" s="116">
        <f>I27+I23-I28-I29</f>
        <v>4755.1442682605548</v>
      </c>
      <c r="J30" s="116">
        <f>J27+J23-J28-J29</f>
        <v>5468.415908499639</v>
      </c>
      <c r="K30" s="116">
        <f>K27+K23-K28-K29</f>
        <v>6288.6782947745824</v>
      </c>
    </row>
    <row r="31" spans="1:19" x14ac:dyDescent="0.3">
      <c r="A31" s="41" t="s">
        <v>221</v>
      </c>
      <c r="G31">
        <f>1/(1+$H$8)^1</f>
        <v>0.9190126835879403</v>
      </c>
      <c r="H31">
        <f>1/(1+$H$8)^2</f>
        <v>0.84458431259550759</v>
      </c>
      <c r="I31">
        <f>1/(1+$H$8)^3</f>
        <v>0.77618369563467327</v>
      </c>
      <c r="J31">
        <f>1/(1+$H$8)^4</f>
        <v>0.71332266108242603</v>
      </c>
      <c r="K31">
        <f>1/(1+$H$8)^5</f>
        <v>0.65555257302545111</v>
      </c>
    </row>
    <row r="32" spans="1:19" x14ac:dyDescent="0.3">
      <c r="A32" s="41" t="s">
        <v>222</v>
      </c>
      <c r="G32">
        <f>G30*G31</f>
        <v>3304.3764800165941</v>
      </c>
      <c r="H32">
        <f>H30*H31</f>
        <v>3492.2784809576597</v>
      </c>
      <c r="I32">
        <f>I30*I31</f>
        <v>3690.8654514145114</v>
      </c>
      <c r="J32">
        <f>J30*J31</f>
        <v>3900.744987756435</v>
      </c>
      <c r="K32">
        <f>K30*K31</f>
        <v>4122.5592370687837</v>
      </c>
    </row>
    <row r="33" spans="1:11" x14ac:dyDescent="0.3">
      <c r="A33" s="41" t="s">
        <v>223</v>
      </c>
      <c r="K33">
        <f>K30*(1+E10)</f>
        <v>6540.2254265655656</v>
      </c>
    </row>
    <row r="34" spans="1:11" x14ac:dyDescent="0.3">
      <c r="A34" s="41" t="s">
        <v>224</v>
      </c>
      <c r="K34">
        <f>K33/(H8-E10)</f>
        <v>135902.86631854958</v>
      </c>
    </row>
    <row r="35" spans="1:11" x14ac:dyDescent="0.3">
      <c r="A35" s="41" t="s">
        <v>225</v>
      </c>
      <c r="K35">
        <f>K34/(1+H8)^5</f>
        <v>89091.473696659101</v>
      </c>
    </row>
    <row r="36" spans="1:11" x14ac:dyDescent="0.3">
      <c r="A36" s="41" t="s">
        <v>226</v>
      </c>
      <c r="K36">
        <f>SUM(G32:K32,K35)</f>
        <v>107602.29833387308</v>
      </c>
    </row>
    <row r="37" spans="1:11" x14ac:dyDescent="0.3">
      <c r="A37" s="41" t="s">
        <v>227</v>
      </c>
      <c r="K37">
        <f>K36+'3Statement Model'!K55-'3Statement Model'!K38</f>
        <v>103368.41833387308</v>
      </c>
    </row>
    <row r="38" spans="1:11" ht="16.8" customHeight="1" x14ac:dyDescent="0.3">
      <c r="A38" s="122" t="s">
        <v>228</v>
      </c>
      <c r="B38" s="123"/>
      <c r="C38" s="123"/>
      <c r="D38" s="123"/>
      <c r="E38" s="123"/>
      <c r="F38" s="123"/>
      <c r="G38" s="123"/>
      <c r="H38" s="123"/>
      <c r="I38" s="123"/>
      <c r="J38" s="123"/>
      <c r="K38" s="124">
        <f>K37/Data!K93</f>
        <v>1717.3686382102189</v>
      </c>
    </row>
    <row r="39" spans="1:11" x14ac:dyDescent="0.3">
      <c r="A39" s="125" t="s">
        <v>229</v>
      </c>
      <c r="K39" t="str">
        <f>IF(K38&gt;Data!B8,"UNDERVALUED","OVERVALUED")</f>
        <v>UNDERVALUED</v>
      </c>
    </row>
    <row r="41" spans="1:11" x14ac:dyDescent="0.3">
      <c r="A41" s="144" t="s">
        <v>230</v>
      </c>
      <c r="B41" s="128"/>
      <c r="C41" s="128"/>
      <c r="D41" s="128"/>
      <c r="E41" s="128"/>
    </row>
    <row r="43" spans="1:11" ht="13.2" customHeight="1" x14ac:dyDescent="0.3">
      <c r="A43" s="97" t="s">
        <v>231</v>
      </c>
      <c r="B43" s="99" t="s">
        <v>232</v>
      </c>
      <c r="D43" s="99" t="s">
        <v>233</v>
      </c>
      <c r="E43" s="99" t="s">
        <v>234</v>
      </c>
    </row>
    <row r="44" spans="1:11" x14ac:dyDescent="0.3">
      <c r="A44" s="41" t="s">
        <v>235</v>
      </c>
      <c r="B44" s="98">
        <f>'3Statement Model'!K36</f>
        <v>59.93</v>
      </c>
      <c r="D44" s="117">
        <v>4.5</v>
      </c>
      <c r="E44" s="98">
        <f>$B$48*D44</f>
        <v>828.32671540122942</v>
      </c>
    </row>
    <row r="45" spans="1:11" x14ac:dyDescent="0.3">
      <c r="A45" s="41" t="s">
        <v>44</v>
      </c>
      <c r="B45" s="98">
        <f>'3Statement Model'!K37</f>
        <v>11019.4</v>
      </c>
      <c r="D45" s="117">
        <v>5</v>
      </c>
      <c r="E45" s="98">
        <f>$B$48*D45</f>
        <v>920.36301711247711</v>
      </c>
    </row>
    <row r="46" spans="1:11" x14ac:dyDescent="0.3">
      <c r="A46" s="41" t="s">
        <v>236</v>
      </c>
      <c r="B46" s="98">
        <f>B44+B45</f>
        <v>11079.33</v>
      </c>
      <c r="D46" s="117">
        <v>5.5</v>
      </c>
      <c r="E46" s="98">
        <f>$B$48*D46</f>
        <v>1012.3993188237249</v>
      </c>
    </row>
    <row r="47" spans="1:11" ht="16.2" customHeight="1" x14ac:dyDescent="0.3">
      <c r="A47" s="41" t="s">
        <v>237</v>
      </c>
      <c r="B47" s="98">
        <f>Data!K93</f>
        <v>60.19</v>
      </c>
      <c r="D47" s="117">
        <v>6</v>
      </c>
      <c r="E47" s="98">
        <f>$B$48*D47</f>
        <v>1104.4356205349727</v>
      </c>
    </row>
    <row r="48" spans="1:11" x14ac:dyDescent="0.3">
      <c r="A48" s="41" t="s">
        <v>238</v>
      </c>
      <c r="B48" s="98">
        <f>B46/B47</f>
        <v>184.07260342249543</v>
      </c>
    </row>
    <row r="49" spans="1:7" x14ac:dyDescent="0.3">
      <c r="A49" s="41" t="s">
        <v>239</v>
      </c>
      <c r="B49" s="98">
        <f>Data!B8/DCF!B48</f>
        <v>5.1080387983749915</v>
      </c>
    </row>
    <row r="50" spans="1:7" x14ac:dyDescent="0.3">
      <c r="A50" s="41" t="s">
        <v>234</v>
      </c>
      <c r="B50" s="98">
        <f>E46</f>
        <v>1012.3993188237249</v>
      </c>
    </row>
    <row r="51" spans="1:7" x14ac:dyDescent="0.3">
      <c r="A51" s="41" t="s">
        <v>240</v>
      </c>
      <c r="B51" s="118">
        <f>(B50-Data!B8)/Data!B8</f>
        <v>7.6734186465009208E-2</v>
      </c>
    </row>
    <row r="53" spans="1:7" x14ac:dyDescent="0.3">
      <c r="A53" s="143" t="s">
        <v>241</v>
      </c>
      <c r="B53" s="128"/>
    </row>
    <row r="54" spans="1:7" x14ac:dyDescent="0.3">
      <c r="A54" s="41" t="s">
        <v>242</v>
      </c>
      <c r="B54">
        <f>Data!B8</f>
        <v>940.25</v>
      </c>
    </row>
    <row r="55" spans="1:7" x14ac:dyDescent="0.3">
      <c r="A55" s="41" t="s">
        <v>234</v>
      </c>
      <c r="B55">
        <f>B50</f>
        <v>1012.3993188237249</v>
      </c>
    </row>
    <row r="56" spans="1:7" x14ac:dyDescent="0.3">
      <c r="A56" s="41" t="s">
        <v>240</v>
      </c>
      <c r="B56" s="119">
        <f>B51</f>
        <v>7.6734186465009208E-2</v>
      </c>
    </row>
    <row r="57" spans="1:7" x14ac:dyDescent="0.3">
      <c r="A57" s="120" t="s">
        <v>243</v>
      </c>
      <c r="B57" s="121" t="s">
        <v>244</v>
      </c>
    </row>
    <row r="60" spans="1:7" x14ac:dyDescent="0.3">
      <c r="A60" s="149" t="s">
        <v>245</v>
      </c>
      <c r="B60" s="150"/>
      <c r="C60" s="150"/>
      <c r="D60" s="150"/>
    </row>
    <row r="61" spans="1:7" x14ac:dyDescent="0.3">
      <c r="B61" s="125" t="s">
        <v>246</v>
      </c>
      <c r="C61" s="126">
        <v>0.02</v>
      </c>
      <c r="D61" s="126">
        <v>0.03</v>
      </c>
      <c r="E61" s="126">
        <v>0.04</v>
      </c>
      <c r="F61" s="126">
        <v>0.05</v>
      </c>
      <c r="G61" s="126">
        <v>0.06</v>
      </c>
    </row>
    <row r="62" spans="1:7" x14ac:dyDescent="0.3">
      <c r="B62" s="119">
        <f>$H$8-0.01</f>
        <v>7.8124264069865917E-2</v>
      </c>
      <c r="C62" s="74">
        <f>((SUMPRODUCT($G$30:$K$30,1/(1+$B62)^{1,2,3,4,5}))+(($K$30*(1+C$61))/($B62-C$61))/(1+$B62)^5+'3Statement Model'!$K$55-'3Statement Model'!$K$38)/Data!$K$93</f>
        <v>1504.9177594470282</v>
      </c>
      <c r="D62" s="74">
        <f>((SUMPRODUCT($G$30:$K$30,1/(1+$B62)^{1,2,3,4,5}))+(($K$30*(1+D$61))/($B62-D$61))/(1+$B62)^5+'3Statement Model'!$K$55-'3Statement Model'!$K$38)/Data!$K$93</f>
        <v>1781.3815036630563</v>
      </c>
      <c r="E62" s="74">
        <f>((SUMPRODUCT($G$30:$K$30,1/(1+$B62)^{1,2,3,4,5}))+(($K$30*(1+E$61))/($B62-E$61))/(1+$B62)^5+'3Statement Model'!$K$55-'3Statement Model'!$K$38)/Data!$K$93</f>
        <v>2202.8782083629299</v>
      </c>
      <c r="F62" s="74">
        <f>((SUMPRODUCT($G$30:$K$30,1/(1+$B62)^{1,2,3,4,5}))+(($K$30*(1+F$61))/($B62-F$61))/(1+$B62)^5+'3Statement Model'!$K$55-'3Statement Model'!$K$38)/Data!$K$93</f>
        <v>2924.1137461592339</v>
      </c>
      <c r="G62" s="74">
        <f>((SUMPRODUCT($G$30:$K$30,1/(1+$B62)^{1,2,3,4,5}))+(($K$30*(1+G$61))/($B62-G$61))/(1+$B62)^5+'3Statement Model'!$K$55-'3Statement Model'!$K$38)/Data!$K$93</f>
        <v>4441.2277097123733</v>
      </c>
    </row>
    <row r="63" spans="1:7" x14ac:dyDescent="0.3">
      <c r="B63" s="119">
        <f>$H$8-0.005</f>
        <v>8.3124264069865908E-2</v>
      </c>
      <c r="C63" s="74">
        <f>((SUMPRODUCT($G$30:$K$30,1/(1+$B63)^{1,2,3,4,5}))+(($K$30*(1+C$61))/($B63-C$61))/(1+$B63)^5+'3Statement Model'!$K$55-'3Statement Model'!$K$38)/Data!$K$93</f>
        <v>1374.1660868015617</v>
      </c>
      <c r="D63" s="74">
        <f>((SUMPRODUCT($G$30:$K$30,1/(1+$B63)^{1,2,3,4,5}))+(($K$30*(1+D$61))/($B63-D$61))/(1+$B63)^5+'3Statement Model'!$K$55-'3Statement Model'!$K$38)/Data!$K$93</f>
        <v>1600.5432641069954</v>
      </c>
      <c r="E63" s="74">
        <f>((SUMPRODUCT($G$30:$K$30,1/(1+$B63)^{1,2,3,4,5}))+(($K$30*(1+E$61))/($B63-E$61))/(1+$B63)^5+'3Statement Model'!$K$55-'3Statement Model'!$K$38)/Data!$K$93</f>
        <v>1931.9087500540224</v>
      </c>
      <c r="F63" s="74">
        <f>((SUMPRODUCT($G$30:$K$30,1/(1+$B63)^{1,2,3,4,5}))+(($K$30*(1+F$61))/($B63-F$61))/(1+$B63)^5+'3Statement Model'!$K$55-'3Statement Model'!$K$38)/Data!$K$93</f>
        <v>2463.3484083649155</v>
      </c>
      <c r="G63" s="74">
        <f>((SUMPRODUCT($G$30:$K$30,1/(1+$B63)^{1,2,3,4,5}))+(($K$30*(1+G$61))/($B63-G$61))/(1+$B63)^5+'3Statement Model'!$K$55-'3Statement Model'!$K$38)/Data!$K$93</f>
        <v>3454.4261824707501</v>
      </c>
    </row>
    <row r="64" spans="1:7" x14ac:dyDescent="0.3">
      <c r="B64" s="119">
        <f>$H$8</f>
        <v>8.8124264069865912E-2</v>
      </c>
      <c r="C64" s="74">
        <f>((SUMPRODUCT($G$30:$K$30,1/(1+$B64)^{1,2,3,4,5}))+(($K$30*(1+C$61))/($B64-C$61))/(1+$B64)^5+'3Statement Model'!$K$55-'3Statement Model'!$K$38)/Data!$K$93</f>
        <v>1262.7103349344566</v>
      </c>
      <c r="D64" s="74">
        <f>((SUMPRODUCT($G$30:$K$30,1/(1+$B64)^{1,2,3,4,5}))+(($K$30*(1+D$61))/($B64-D$61))/(1+$B64)^5+'3Statement Model'!$K$55-'3Statement Model'!$K$38)/Data!$K$93</f>
        <v>1450.9285997033653</v>
      </c>
      <c r="E64" s="74">
        <f>((SUMPRODUCT($G$30:$K$30,1/(1+$B64)^{1,2,3,4,5}))+(($K$30*(1+E$61))/($B64-E$61))/(1+$B64)^5+'3Statement Model'!$K$55-'3Statement Model'!$K$38)/Data!$K$93</f>
        <v>1717.3686382102189</v>
      </c>
      <c r="F64" s="74">
        <f>((SUMPRODUCT($G$30:$K$30,1/(1+$B64)^{1,2,3,4,5}))+(($K$30*(1+F$61))/($B64-F$61))/(1+$B64)^5+'3Statement Model'!$K$55-'3Statement Model'!$K$38)/Data!$K$93</f>
        <v>2123.5831982756163</v>
      </c>
      <c r="G64" s="74">
        <f>((SUMPRODUCT($G$30:$K$30,1/(1+$B64)^{1,2,3,4,5}))+(($K$30*(1+G$61))/($B64-G$61))/(1+$B64)^5+'3Statement Model'!$K$55-'3Statement Model'!$K$38)/Data!$K$93</f>
        <v>2818.6690042205746</v>
      </c>
    </row>
    <row r="65" spans="2:7" x14ac:dyDescent="0.3">
      <c r="B65" s="119">
        <f>$H$8+0.005</f>
        <v>9.3124264069865917E-2</v>
      </c>
      <c r="C65" s="74">
        <f>((SUMPRODUCT($G$30:$K$30,1/(1+$B65)^{1,2,3,4,5}))+(($K$30*(1+C$61))/($B65-C$61))/(1+$B65)^5+'3Statement Model'!$K$55-'3Statement Model'!$K$38)/Data!$K$93</f>
        <v>1166.59001919362</v>
      </c>
      <c r="D65" s="74">
        <f>((SUMPRODUCT($G$30:$K$30,1/(1+$B65)^{1,2,3,4,5}))+(($K$30*(1+D$61))/($B65-D$61))/(1+$B65)^5+'3Statement Model'!$K$55-'3Statement Model'!$K$38)/Data!$K$93</f>
        <v>1325.1154934184806</v>
      </c>
      <c r="E65" s="74">
        <f>((SUMPRODUCT($G$30:$K$30,1/(1+$B65)^{1,2,3,4,5}))+(($K$30*(1+E$61))/($B65-E$61))/(1+$B65)^5+'3Statement Model'!$K$55-'3Statement Model'!$K$38)/Data!$K$93</f>
        <v>1543.3219729242339</v>
      </c>
      <c r="F65" s="74">
        <f>((SUMPRODUCT($G$30:$K$30,1/(1+$B65)^{1,2,3,4,5}))+(($K$30*(1+F$61))/($B65-F$61))/(1+$B65)^5+'3Statement Model'!$K$55-'3Statement Model'!$K$38)/Data!$K$93</f>
        <v>1862.7273872812511</v>
      </c>
      <c r="G65" s="74">
        <f>((SUMPRODUCT($G$30:$K$30,1/(1+$B65)^{1,2,3,4,5}))+(($K$30*(1+G$61))/($B65-G$61))/(1+$B65)^5+'3Statement Model'!$K$55-'3Statement Model'!$K$38)/Data!$K$93</f>
        <v>2374.9856382678313</v>
      </c>
    </row>
    <row r="66" spans="2:7" x14ac:dyDescent="0.3">
      <c r="B66" s="119">
        <f>$H$8+0.01</f>
        <v>9.8124264069865907E-2</v>
      </c>
      <c r="C66" s="74">
        <f>((SUMPRODUCT($G$30:$K$30,1/(1+$B66)^{1,2,3,4,5}))+(($K$30*(1+C$61))/($B66-C$61))/(1+$B66)^5+'3Statement Model'!$K$55-'3Statement Model'!$K$38)/Data!$K$93</f>
        <v>1082.8586114680693</v>
      </c>
      <c r="D66" s="74">
        <f>((SUMPRODUCT($G$30:$K$30,1/(1+$B66)^{1,2,3,4,5}))+(($K$30*(1+D$61))/($B66-D$61))/(1+$B66)^5+'3Statement Model'!$K$55-'3Statement Model'!$K$38)/Data!$K$93</f>
        <v>1217.8609591427164</v>
      </c>
      <c r="E66" s="74">
        <f>((SUMPRODUCT($G$30:$K$30,1/(1+$B66)^{1,2,3,4,5}))+(($K$30*(1+E$61))/($B66-E$61))/(1+$B66)^5+'3Statement Model'!$K$55-'3Statement Model'!$K$38)/Data!$K$93</f>
        <v>1399.316315671763</v>
      </c>
      <c r="F66" s="74">
        <f>((SUMPRODUCT($G$30:$K$30,1/(1+$B66)^{1,2,3,4,5}))+(($K$30*(1+F$61))/($B66-F$61))/(1+$B66)^5+'3Statement Model'!$K$55-'3Statement Model'!$K$38)/Data!$K$93</f>
        <v>1656.1828436903572</v>
      </c>
      <c r="G66" s="74">
        <f>((SUMPRODUCT($G$30:$K$30,1/(1+$B66)^{1,2,3,4,5}))+(($K$30*(1+G$61))/($B66-G$61))/(1+$B66)^5+'3Statement Model'!$K$55-'3Statement Model'!$K$38)/Data!$K$93</f>
        <v>2047.8016268857934</v>
      </c>
    </row>
  </sheetData>
  <mergeCells count="4">
    <mergeCell ref="G17:K17"/>
    <mergeCell ref="A2:B2"/>
    <mergeCell ref="A53:B53"/>
    <mergeCell ref="A41:E41"/>
  </mergeCells>
  <conditionalFormatting sqref="C62:G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Q44"/>
  <sheetViews>
    <sheetView showGridLines="0" topLeftCell="C31" zoomScaleNormal="100" workbookViewId="0">
      <selection activeCell="B2" sqref="B2:L2"/>
    </sheetView>
  </sheetViews>
  <sheetFormatPr defaultColWidth="8.6640625" defaultRowHeight="14.4" x14ac:dyDescent="0.3"/>
  <cols>
    <col min="1" max="1" width="1.88671875" customWidth="1"/>
    <col min="2" max="2" width="18.21875" customWidth="1"/>
  </cols>
  <sheetData>
    <row r="2" spans="2:17" ht="14.25" customHeight="1" x14ac:dyDescent="0.3">
      <c r="B2" s="139" t="str">
        <f>"Common Size Income Statement For " &amp;Data!$B$1</f>
        <v>Common Size Income Statement For MOTILAL OSWAL FINANCIAL SERVICES LTD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76"/>
      <c r="N2" s="76"/>
      <c r="O2" s="76"/>
      <c r="P2" s="76"/>
      <c r="Q2" s="76"/>
    </row>
    <row r="3" spans="2:17" ht="14.25" customHeight="1" x14ac:dyDescent="0.3">
      <c r="B3" s="27" t="s">
        <v>74</v>
      </c>
      <c r="C3" s="28">
        <f>Data!B16</f>
        <v>42825</v>
      </c>
      <c r="D3" s="28">
        <f>Data!C16</f>
        <v>43190</v>
      </c>
      <c r="E3" s="28">
        <f>Data!D16</f>
        <v>43555</v>
      </c>
      <c r="F3" s="28">
        <f>Data!E16</f>
        <v>43921</v>
      </c>
      <c r="G3" s="28">
        <f>Data!F16</f>
        <v>44286</v>
      </c>
      <c r="H3" s="28">
        <f>Data!G16</f>
        <v>44651</v>
      </c>
      <c r="I3" s="28">
        <f>Data!H16</f>
        <v>45016</v>
      </c>
      <c r="J3" s="28">
        <f>Data!I16</f>
        <v>45382</v>
      </c>
      <c r="K3" s="28">
        <f>Data!J16</f>
        <v>45747</v>
      </c>
      <c r="L3" s="28">
        <f>Data!K16</f>
        <v>46112</v>
      </c>
      <c r="M3" s="77"/>
      <c r="N3" s="77"/>
      <c r="O3" s="77"/>
      <c r="P3" s="77"/>
      <c r="Q3" s="77"/>
    </row>
    <row r="4" spans="2:17" ht="14.25" customHeight="1" x14ac:dyDescent="0.3">
      <c r="B4" s="11" t="s">
        <v>18</v>
      </c>
      <c r="C4">
        <f>Data!B17/Data!B$17</f>
        <v>1</v>
      </c>
      <c r="D4">
        <f>Data!C17/Data!C$17</f>
        <v>1</v>
      </c>
      <c r="E4">
        <f>Data!D17/Data!D$17</f>
        <v>1</v>
      </c>
      <c r="F4">
        <f>Data!E17/Data!E$17</f>
        <v>1</v>
      </c>
      <c r="G4">
        <f>Data!F17/Data!F$17</f>
        <v>1</v>
      </c>
      <c r="H4">
        <f>Data!G17/Data!G$17</f>
        <v>1</v>
      </c>
      <c r="I4">
        <f>Data!H17/Data!H$17</f>
        <v>1</v>
      </c>
      <c r="J4">
        <f>Data!I17/Data!I$17</f>
        <v>1</v>
      </c>
      <c r="K4">
        <f>Data!J17/Data!J$17</f>
        <v>1</v>
      </c>
      <c r="L4">
        <f>Data!K17/Data!K$17</f>
        <v>1</v>
      </c>
    </row>
    <row r="5" spans="2:17" ht="14.25" customHeight="1" x14ac:dyDescent="0.3">
      <c r="B5" s="11" t="s">
        <v>247</v>
      </c>
      <c r="C5">
        <f>Data!B18/Data!B$17</f>
        <v>0</v>
      </c>
      <c r="D5">
        <f>Data!C18/Data!C$17</f>
        <v>0</v>
      </c>
      <c r="E5">
        <f>Data!D18/Data!D$17</f>
        <v>0</v>
      </c>
      <c r="F5">
        <f>Data!E18/Data!E$17</f>
        <v>0</v>
      </c>
      <c r="G5">
        <f>Data!F18/Data!F$17</f>
        <v>0</v>
      </c>
      <c r="H5">
        <f>Data!G18/Data!G$17</f>
        <v>0</v>
      </c>
      <c r="I5">
        <f>Data!H18/Data!H$17</f>
        <v>0</v>
      </c>
      <c r="J5">
        <f>Data!I18/Data!I$17</f>
        <v>0</v>
      </c>
      <c r="K5">
        <f>Data!J18/Data!J$17</f>
        <v>0</v>
      </c>
      <c r="L5">
        <f>Data!K18/Data!K$17</f>
        <v>0.15186374697938573</v>
      </c>
    </row>
    <row r="6" spans="2:17" ht="14.25" customHeight="1" x14ac:dyDescent="0.3">
      <c r="B6" s="11" t="s">
        <v>248</v>
      </c>
      <c r="C6">
        <f>Data!B19/Data!B$17</f>
        <v>0</v>
      </c>
      <c r="D6">
        <f>Data!C19/Data!C$17</f>
        <v>0</v>
      </c>
      <c r="E6">
        <f>Data!D19/Data!D$17</f>
        <v>0</v>
      </c>
      <c r="F6">
        <f>Data!E19/Data!E$17</f>
        <v>0</v>
      </c>
      <c r="G6">
        <f>Data!F19/Data!F$17</f>
        <v>0</v>
      </c>
      <c r="H6">
        <f>Data!G19/Data!G$17</f>
        <v>0</v>
      </c>
      <c r="I6">
        <f>Data!H19/Data!H$17</f>
        <v>0</v>
      </c>
      <c r="J6">
        <f>Data!I19/Data!I$17</f>
        <v>0</v>
      </c>
      <c r="K6">
        <f>Data!J19/Data!J$17</f>
        <v>0</v>
      </c>
      <c r="L6">
        <f>Data!K19/Data!K$17</f>
        <v>0</v>
      </c>
    </row>
    <row r="7" spans="2:17" ht="14.25" customHeight="1" x14ac:dyDescent="0.3">
      <c r="B7" s="11" t="s">
        <v>249</v>
      </c>
      <c r="C7">
        <f>Data!B20/Data!B$17</f>
        <v>4.0981048865220198E-3</v>
      </c>
      <c r="D7">
        <f>Data!C20/Data!C$17</f>
        <v>3.0421540049575839E-3</v>
      </c>
      <c r="E7">
        <f>Data!D20/Data!D$17</f>
        <v>3.5021551724137932E-3</v>
      </c>
      <c r="F7">
        <f>Data!E20/Data!E$17</f>
        <v>3.8000237501484386E-3</v>
      </c>
      <c r="G7">
        <f>Data!F20/Data!F$17</f>
        <v>1.9277812864561645E-3</v>
      </c>
      <c r="H7">
        <f>Data!G20/Data!G$17</f>
        <v>2.0102139342259863E-3</v>
      </c>
      <c r="I7">
        <f>Data!H20/Data!H$17</f>
        <v>2.7143732526521388E-3</v>
      </c>
      <c r="J7">
        <f>Data!I20/Data!I$17</f>
        <v>1.5885477448421708E-3</v>
      </c>
      <c r="K7">
        <f>Data!J20/Data!J$17</f>
        <v>1.7267139434549146E-3</v>
      </c>
      <c r="L7">
        <f>Data!K20/Data!K$17</f>
        <v>1.2663395644772564E-3</v>
      </c>
    </row>
    <row r="8" spans="2:17" ht="14.25" customHeight="1" x14ac:dyDescent="0.3">
      <c r="B8" s="11" t="s">
        <v>250</v>
      </c>
      <c r="C8">
        <f>Data!B21/Data!B$17</f>
        <v>5.5438830063863874E-3</v>
      </c>
      <c r="D8">
        <f>Data!C21/Data!C$17</f>
        <v>0.18275095044596451</v>
      </c>
      <c r="E8">
        <f>Data!D21/Data!D$17</f>
        <v>0.19400633490073146</v>
      </c>
      <c r="F8">
        <f>Data!E21/Data!E$17</f>
        <v>0.29755543115001609</v>
      </c>
      <c r="G8">
        <f>Data!F21/Data!F$17</f>
        <v>0.18037027741848299</v>
      </c>
      <c r="H8">
        <f>Data!G21/Data!G$17</f>
        <v>0.21351077814357672</v>
      </c>
      <c r="I8">
        <f>Data!H21/Data!H$17</f>
        <v>0.21431819922637968</v>
      </c>
      <c r="J8">
        <f>Data!I21/Data!I$17</f>
        <v>0.16681165878051021</v>
      </c>
      <c r="K8">
        <f>Data!J21/Data!J$17</f>
        <v>0.16728140880672074</v>
      </c>
      <c r="L8">
        <f>Data!K21/Data!K$17</f>
        <v>0.14875119518790964</v>
      </c>
    </row>
    <row r="9" spans="2:17" ht="14.25" customHeight="1" x14ac:dyDescent="0.3">
      <c r="B9" s="11" t="s">
        <v>251</v>
      </c>
      <c r="C9">
        <f>Data!B22/Data!B$17</f>
        <v>0.18379064300721848</v>
      </c>
      <c r="D9">
        <f>Data!C22/Data!C$17</f>
        <v>0.17885103258775722</v>
      </c>
      <c r="E9">
        <f>Data!D22/Data!D$17</f>
        <v>0.20481076933124345</v>
      </c>
      <c r="F9">
        <f>Data!E22/Data!E$17</f>
        <v>0.22893446655470165</v>
      </c>
      <c r="G9">
        <f>Data!F22/Data!F$17</f>
        <v>0.17749377401108132</v>
      </c>
      <c r="H9">
        <f>Data!G22/Data!G$17</f>
        <v>0.20185432928886354</v>
      </c>
      <c r="I9">
        <f>Data!H22/Data!H$17</f>
        <v>0.241368580291831</v>
      </c>
      <c r="J9">
        <f>Data!I22/Data!I$17</f>
        <v>0.18810923210761948</v>
      </c>
      <c r="K9">
        <f>Data!J22/Data!J$17</f>
        <v>0.2088112773606218</v>
      </c>
      <c r="L9">
        <f>Data!K22/Data!K$17</f>
        <v>0.21029337932519448</v>
      </c>
    </row>
    <row r="10" spans="2:17" ht="14.25" customHeight="1" x14ac:dyDescent="0.3">
      <c r="B10" s="11" t="s">
        <v>252</v>
      </c>
      <c r="C10">
        <f>Data!B23/Data!B$17</f>
        <v>0.17922448045599218</v>
      </c>
      <c r="D10">
        <f>Data!C23/Data!C$17</f>
        <v>6.1555460248460751E-2</v>
      </c>
      <c r="E10">
        <f>Data!D23/Data!D$17</f>
        <v>6.5149066091954033E-2</v>
      </c>
      <c r="F10">
        <f>Data!E23/Data!E$17</f>
        <v>6.7802432693775769E-2</v>
      </c>
      <c r="G10">
        <f>Data!F23/Data!F$17</f>
        <v>4.679902811140866E-2</v>
      </c>
      <c r="H10">
        <f>Data!G23/Data!G$17</f>
        <v>5.6255743883854299E-2</v>
      </c>
      <c r="I10">
        <f>Data!H23/Data!H$17</f>
        <v>6.9269177741181867E-2</v>
      </c>
      <c r="J10">
        <f>Data!I23/Data!I$17</f>
        <v>5.1030151286893415E-2</v>
      </c>
      <c r="K10">
        <f>Data!J23/Data!J$17</f>
        <v>6.3116191060897844E-2</v>
      </c>
      <c r="L10">
        <f>Data!K23/Data!K$17</f>
        <v>5.3743749580285174E-2</v>
      </c>
    </row>
    <row r="11" spans="2:17" ht="14.25" customHeight="1" x14ac:dyDescent="0.3">
      <c r="B11" s="11" t="s">
        <v>253</v>
      </c>
      <c r="C11">
        <f>Data!B24/Data!B$17</f>
        <v>0.10321191570801523</v>
      </c>
      <c r="D11">
        <f>Data!C24/Data!C$17</f>
        <v>6.7138194479780755E-2</v>
      </c>
      <c r="E11">
        <f>Data!D24/Data!D$17</f>
        <v>0.16236448537095088</v>
      </c>
      <c r="F11">
        <f>Data!E24/Data!E$17</f>
        <v>5.7598351061122703E-2</v>
      </c>
      <c r="G11">
        <f>Data!F24/Data!F$17</f>
        <v>3.7377996817368239E-2</v>
      </c>
      <c r="H11">
        <f>Data!G24/Data!G$17</f>
        <v>3.3010318632868393E-2</v>
      </c>
      <c r="I11">
        <f>Data!H24/Data!H$17</f>
        <v>2.302190647619777E-2</v>
      </c>
      <c r="J11">
        <f>Data!I24/Data!I$17</f>
        <v>1.7099167533082955E-2</v>
      </c>
      <c r="K11">
        <f>Data!J24/Data!J$17</f>
        <v>1.3974391872933039E-2</v>
      </c>
      <c r="L11">
        <f>Data!K24/Data!K$17</f>
        <v>2.0808261479933102E-2</v>
      </c>
    </row>
    <row r="12" spans="2:17" ht="14.25" customHeight="1" x14ac:dyDescent="0.3">
      <c r="B12" s="11" t="s">
        <v>21</v>
      </c>
      <c r="C12">
        <f>Data!B25/Data!B$17</f>
        <v>-1.4093736348318115E-2</v>
      </c>
      <c r="D12">
        <f>Data!C25/Data!C$17</f>
        <v>3.6345925985156323E-4</v>
      </c>
      <c r="E12">
        <f>Data!D25/Data!D$17</f>
        <v>4.8246473354231975E-3</v>
      </c>
      <c r="F12">
        <f>Data!E25/Data!E$17</f>
        <v>3.1935467453814443E-3</v>
      </c>
      <c r="G12">
        <f>Data!F25/Data!F$17</f>
        <v>-2.2038483919987424E-2</v>
      </c>
      <c r="H12">
        <f>Data!G25/Data!G$17</f>
        <v>5.0674142925280071E-3</v>
      </c>
      <c r="I12">
        <f>Data!H25/Data!H$17</f>
        <v>4.6340622726054152E-3</v>
      </c>
      <c r="J12">
        <f>Data!I25/Data!I$17</f>
        <v>8.65284644274226E-3</v>
      </c>
      <c r="K12">
        <f>Data!J25/Data!J$17</f>
        <v>9.3146624394151237E-3</v>
      </c>
      <c r="L12">
        <f>Data!K25/Data!K$17</f>
        <v>4.4854855953874537E-3</v>
      </c>
    </row>
    <row r="13" spans="2:17" ht="14.25" customHeight="1" x14ac:dyDescent="0.3">
      <c r="B13" s="11" t="s">
        <v>22</v>
      </c>
      <c r="C13">
        <f>Data!B26/Data!B$17</f>
        <v>1.7078904120987708E-2</v>
      </c>
      <c r="D13">
        <f>Data!C26/Data!C$17</f>
        <v>1.3626087651835105E-2</v>
      </c>
      <c r="E13">
        <f>Data!D26/Data!D$17</f>
        <v>9.7758294148380352E-3</v>
      </c>
      <c r="F13">
        <f>Data!E26/Data!E$17</f>
        <v>1.6841399901606529E-2</v>
      </c>
      <c r="G13">
        <f>Data!F26/Data!F$17</f>
        <v>1.3105603252131179E-2</v>
      </c>
      <c r="H13">
        <f>Data!G26/Data!G$17</f>
        <v>1.1228347739090982E-2</v>
      </c>
      <c r="I13">
        <f>Data!H26/Data!H$17</f>
        <v>1.3973995634023975E-2</v>
      </c>
      <c r="J13">
        <f>Data!I26/Data!I$17</f>
        <v>1.1681413425562462E-2</v>
      </c>
      <c r="K13">
        <f>Data!J26/Data!J$17</f>
        <v>1.1842379795528289E-2</v>
      </c>
      <c r="L13">
        <f>Data!K26/Data!K$17</f>
        <v>1.179678447817323E-2</v>
      </c>
    </row>
    <row r="14" spans="2:17" ht="14.25" customHeight="1" x14ac:dyDescent="0.3">
      <c r="B14" s="11" t="s">
        <v>23</v>
      </c>
      <c r="C14">
        <f>Data!B27/Data!B$17</f>
        <v>0.23000353643568888</v>
      </c>
      <c r="D14">
        <f>Data!C27/Data!C$17</f>
        <v>0.19206277668336152</v>
      </c>
      <c r="E14">
        <f>Data!D27/Data!D$17</f>
        <v>0.21096607236154649</v>
      </c>
      <c r="F14">
        <f>Data!E27/Data!E$17</f>
        <v>0.20970956961338152</v>
      </c>
      <c r="G14">
        <f>Data!F27/Data!F$17</f>
        <v>0.1186674866861743</v>
      </c>
      <c r="H14">
        <f>Data!G27/Data!G$17</f>
        <v>0.11125743069531531</v>
      </c>
      <c r="I14">
        <f>Data!H27/Data!H$17</f>
        <v>0.14261948987016967</v>
      </c>
      <c r="J14">
        <f>Data!I27/Data!I$17</f>
        <v>0.14345590471542644</v>
      </c>
      <c r="K14">
        <f>Data!J27/Data!J$17</f>
        <v>0.15569923520961587</v>
      </c>
      <c r="L14">
        <f>Data!K27/Data!K$17</f>
        <v>0.14245360752214228</v>
      </c>
    </row>
    <row r="15" spans="2:17" ht="14.25" customHeight="1" x14ac:dyDescent="0.3">
      <c r="B15" s="11" t="s">
        <v>24</v>
      </c>
      <c r="C15">
        <f>Data!B28/Data!B$17</f>
        <v>0.26295479603087102</v>
      </c>
      <c r="D15">
        <f>Data!C28/Data!C$17</f>
        <v>0.30133680315773403</v>
      </c>
      <c r="E15">
        <f>Data!D28/Data!D$17</f>
        <v>0.15424993469174503</v>
      </c>
      <c r="F15">
        <f>Data!E28/Data!E$17</f>
        <v>0.1209518720206287</v>
      </c>
      <c r="G15">
        <f>Data!F28/Data!F$17</f>
        <v>0.40221956849690982</v>
      </c>
      <c r="H15">
        <f>Data!G28/Data!G$17</f>
        <v>0.37594025197473269</v>
      </c>
      <c r="I15">
        <f>Data!H28/Data!H$17</f>
        <v>0.29734833978016928</v>
      </c>
      <c r="J15">
        <f>Data!I28/Data!I$17</f>
        <v>0.42887677084880504</v>
      </c>
      <c r="K15">
        <f>Data!J28/Data!J$17</f>
        <v>0.38686306438964257</v>
      </c>
      <c r="L15">
        <f>Data!K28/Data!K$17</f>
        <v>0.2635084214778865</v>
      </c>
    </row>
    <row r="16" spans="2:17" ht="14.25" customHeight="1" x14ac:dyDescent="0.3">
      <c r="B16" s="11" t="s">
        <v>25</v>
      </c>
      <c r="C16">
        <f>Data!B29/Data!B$17</f>
        <v>7.3375839903476112E-2</v>
      </c>
      <c r="D16">
        <f>Data!C29/Data!C$17</f>
        <v>7.4821723233042814E-2</v>
      </c>
      <c r="E16">
        <f>Data!D29/Data!D$17</f>
        <v>3.7817561389759669E-2</v>
      </c>
      <c r="F16">
        <f>Data!E29/Data!E$17</f>
        <v>2.9598622491390572E-2</v>
      </c>
      <c r="G16">
        <f>Data!F29/Data!F$17</f>
        <v>7.0453649132774215E-2</v>
      </c>
      <c r="H16">
        <f>Data!G29/Data!G$17</f>
        <v>7.0983352915857181E-2</v>
      </c>
      <c r="I16">
        <f>Data!H29/Data!H$17</f>
        <v>7.4066006663858139E-2</v>
      </c>
      <c r="J16">
        <f>Data!I29/Data!I$17</f>
        <v>8.2929830889685752E-2</v>
      </c>
      <c r="K16">
        <f>Data!J29/Data!J$17</f>
        <v>8.6105468646951747E-2</v>
      </c>
      <c r="L16">
        <f>Data!K29/Data!K$17</f>
        <v>6.3914971907088197E-2</v>
      </c>
    </row>
    <row r="17" spans="2:12" ht="14.25" customHeight="1" x14ac:dyDescent="0.3">
      <c r="B17" s="11" t="s">
        <v>26</v>
      </c>
      <c r="C17">
        <f>Data!B30/Data!B$17</f>
        <v>0.18720746395955984</v>
      </c>
      <c r="D17">
        <f>Data!C30/Data!C$17</f>
        <v>0.22617342822043074</v>
      </c>
      <c r="E17">
        <f>Data!D30/Data!D$17</f>
        <v>0.11999167319749217</v>
      </c>
      <c r="F17">
        <f>Data!E30/Data!E$17</f>
        <v>7.7769012842044544E-2</v>
      </c>
      <c r="G17">
        <f>Data!F30/Data!F$17</f>
        <v>0.3476184041059811</v>
      </c>
      <c r="H17">
        <f>Data!G30/Data!G$17</f>
        <v>0.3047381952280685</v>
      </c>
      <c r="I17">
        <f>Data!H30/Data!H$17</f>
        <v>0.22301185324192868</v>
      </c>
      <c r="J17">
        <f>Data!I30/Data!I$17</f>
        <v>0.34530190187216642</v>
      </c>
      <c r="K17">
        <f>Data!J30/Data!J$17</f>
        <v>0.29997337982670502</v>
      </c>
      <c r="L17">
        <f>Data!K30/Data!K$17</f>
        <v>0.19925767771658082</v>
      </c>
    </row>
    <row r="18" spans="2:12" ht="14.25" customHeight="1" x14ac:dyDescent="0.3">
      <c r="B18" s="11" t="s">
        <v>254</v>
      </c>
      <c r="C18">
        <f>Data!B31/Data!B$17</f>
        <v>4.1334692434107888E-2</v>
      </c>
      <c r="D18">
        <f>Data!C31/Data!C$17</f>
        <v>4.4829065110091812E-2</v>
      </c>
      <c r="E18">
        <f>Data!D31/Data!D$17</f>
        <v>5.054858934169279E-2</v>
      </c>
      <c r="F18">
        <f>Data!E31/Data!E$17</f>
        <v>2.5124264169508203E-2</v>
      </c>
      <c r="G18">
        <f>Data!F31/Data!F$17</f>
        <v>4.0955010162909929E-2</v>
      </c>
      <c r="H18">
        <f>Data!G31/Data!G$17</f>
        <v>3.469015018438594E-2</v>
      </c>
      <c r="I18">
        <f>Data!H31/Data!H$17</f>
        <v>3.5401746390410174E-2</v>
      </c>
      <c r="J18">
        <f>Data!I31/Data!I$17</f>
        <v>2.9507663363675583E-2</v>
      </c>
      <c r="K18">
        <f>Data!J31/Data!J$17</f>
        <v>3.5931238413629524E-2</v>
      </c>
      <c r="L18">
        <f>Data!K31/Data!K$17</f>
        <v>3.8495443629235383E-2</v>
      </c>
    </row>
    <row r="19" spans="2:12" ht="14.25" customHeight="1" x14ac:dyDescent="0.3">
      <c r="B19" s="11" t="s">
        <v>83</v>
      </c>
      <c r="C19">
        <f>Data!B32/Data!B$17</f>
        <v>0</v>
      </c>
      <c r="D19">
        <f>Data!C32/Data!C$17</f>
        <v>0</v>
      </c>
      <c r="E19">
        <f>Data!D32/Data!D$17</f>
        <v>0</v>
      </c>
      <c r="F19">
        <f>Data!E32/Data!E$17</f>
        <v>0</v>
      </c>
      <c r="G19">
        <f>Data!F32/Data!F$17</f>
        <v>0</v>
      </c>
      <c r="H19">
        <f>Data!G32/Data!G$17</f>
        <v>0</v>
      </c>
      <c r="I19">
        <f>Data!H32/Data!H$17</f>
        <v>0</v>
      </c>
      <c r="J19">
        <f>Data!I32/Data!I$17</f>
        <v>0</v>
      </c>
      <c r="K19">
        <f>Data!J32/Data!J$17</f>
        <v>0</v>
      </c>
      <c r="L19">
        <f>Data!K32/Data!K$17</f>
        <v>0</v>
      </c>
    </row>
    <row r="20" spans="2:12" ht="14.25" customHeight="1" x14ac:dyDescent="0.3">
      <c r="B20" s="11" t="s">
        <v>255</v>
      </c>
      <c r="C20">
        <f>Data!B33/Data!B$17</f>
        <v>0</v>
      </c>
      <c r="D20">
        <f>Data!C33/Data!C$17</f>
        <v>0</v>
      </c>
      <c r="E20">
        <f>Data!D33/Data!D$17</f>
        <v>0</v>
      </c>
      <c r="F20">
        <f>Data!E33/Data!E$17</f>
        <v>0</v>
      </c>
      <c r="G20">
        <f>Data!F33/Data!F$17</f>
        <v>0</v>
      </c>
      <c r="H20">
        <f>Data!G33/Data!G$17</f>
        <v>0</v>
      </c>
      <c r="I20">
        <f>Data!H33/Data!H$17</f>
        <v>0</v>
      </c>
      <c r="J20">
        <f>Data!I33/Data!I$17</f>
        <v>0</v>
      </c>
      <c r="K20">
        <f>Data!J33/Data!J$17</f>
        <v>0</v>
      </c>
      <c r="L20">
        <f>Data!K33/Data!K$17</f>
        <v>0</v>
      </c>
    </row>
    <row r="22" spans="2:12" ht="14.25" customHeight="1" x14ac:dyDescent="0.3">
      <c r="B22" s="139" t="str">
        <f>"Common Size Balance Sheet For " &amp;Data!$B$1</f>
        <v>Common Size Balance Sheet For MOTILAL OSWAL FINANCIAL SERVICES LTD</v>
      </c>
      <c r="C22" s="128"/>
      <c r="D22" s="128"/>
      <c r="E22" s="128"/>
      <c r="F22" s="128"/>
      <c r="G22" s="128"/>
      <c r="H22" s="128"/>
      <c r="I22" s="128"/>
      <c r="J22" s="128"/>
      <c r="K22" s="128"/>
      <c r="L22" s="128"/>
    </row>
    <row r="23" spans="2:12" ht="14.25" customHeight="1" x14ac:dyDescent="0.3">
      <c r="B23" s="27" t="s">
        <v>74</v>
      </c>
      <c r="C23" s="28">
        <v>42460</v>
      </c>
      <c r="D23" s="28">
        <v>42825</v>
      </c>
      <c r="E23" s="28">
        <v>43190</v>
      </c>
      <c r="F23" s="28">
        <v>43555</v>
      </c>
      <c r="G23" s="28">
        <v>43921</v>
      </c>
      <c r="H23" s="28">
        <v>44286</v>
      </c>
      <c r="I23" s="28">
        <v>44651</v>
      </c>
      <c r="J23" s="28">
        <v>45016</v>
      </c>
      <c r="K23" s="28">
        <v>45382</v>
      </c>
      <c r="L23" s="28">
        <v>45747</v>
      </c>
    </row>
    <row r="24" spans="2:12" ht="14.25" customHeight="1" x14ac:dyDescent="0.3">
      <c r="B24" s="78"/>
      <c r="C24" s="79"/>
      <c r="D24" s="79"/>
      <c r="E24" s="79"/>
      <c r="F24" s="79"/>
      <c r="G24" s="79"/>
      <c r="H24" s="79"/>
      <c r="I24" s="79"/>
      <c r="J24" s="79"/>
      <c r="K24" s="79"/>
      <c r="L24" s="79"/>
    </row>
    <row r="25" spans="2:12" ht="14.25" customHeight="1" x14ac:dyDescent="0.3">
      <c r="B25" s="11" t="str">
        <f>Data!A57</f>
        <v>Equity Share Capital</v>
      </c>
      <c r="C25">
        <f>Data!B57/Data!B$61</f>
        <v>1.7123084762232044E-3</v>
      </c>
      <c r="D25">
        <f>Data!C57/Data!C$61</f>
        <v>1.3936847160523473E-3</v>
      </c>
      <c r="E25">
        <f>Data!D57/Data!D$61</f>
        <v>1.4063340048087549E-3</v>
      </c>
      <c r="F25">
        <f>Data!E57/Data!E$61</f>
        <v>1.468720031814003E-3</v>
      </c>
      <c r="G25">
        <f>Data!F57/Data!F$61</f>
        <v>1.0575860971227249E-3</v>
      </c>
      <c r="H25">
        <f>Data!G57/Data!G$61</f>
        <v>8.8435160301331974E-4</v>
      </c>
      <c r="I25">
        <f>Data!H57/Data!H$61</f>
        <v>6.4446494376509578E-4</v>
      </c>
      <c r="J25">
        <f>Data!I57/Data!I$61</f>
        <v>4.6898188439439175E-4</v>
      </c>
      <c r="K25">
        <f>Data!J57/Data!J$61</f>
        <v>1.766989174869422E-3</v>
      </c>
      <c r="L25">
        <f>Data!K57/Data!K$61</f>
        <v>1.3868411151041259E-3</v>
      </c>
    </row>
    <row r="26" spans="2:12" ht="14.25" customHeight="1" x14ac:dyDescent="0.3">
      <c r="B26" s="11" t="str">
        <f>Data!A58</f>
        <v>Reserves</v>
      </c>
      <c r="C26">
        <f>Data!B58/Data!B$61</f>
        <v>0.20993020417352973</v>
      </c>
      <c r="D26">
        <f>Data!C58/Data!C$61</f>
        <v>0.27579685436426943</v>
      </c>
      <c r="E26">
        <f>Data!D58/Data!D$61</f>
        <v>0.293319575648125</v>
      </c>
      <c r="F26">
        <f>Data!E58/Data!E$61</f>
        <v>0.30460222083162675</v>
      </c>
      <c r="G26">
        <f>Data!F58/Data!F$61</f>
        <v>0.31667546207966291</v>
      </c>
      <c r="H26">
        <f>Data!G58/Data!G$61</f>
        <v>0.3356775669476702</v>
      </c>
      <c r="I26">
        <f>Data!H58/Data!H$61</f>
        <v>0.2717929589917239</v>
      </c>
      <c r="J26">
        <f>Data!I58/Data!I$61</f>
        <v>0.27436604822959343</v>
      </c>
      <c r="K26">
        <f>Data!J58/Data!J$61</f>
        <v>0.32489839001428511</v>
      </c>
      <c r="L26">
        <f>Data!K58/Data!K$61</f>
        <v>0.29556904378929511</v>
      </c>
    </row>
    <row r="27" spans="2:12" ht="14.25" customHeight="1" x14ac:dyDescent="0.3">
      <c r="B27" s="11" t="str">
        <f>Data!A59</f>
        <v>Borrowings</v>
      </c>
      <c r="C27">
        <f>Data!B59/Data!B$61</f>
        <v>0.60041356100913623</v>
      </c>
      <c r="D27">
        <f>Data!C59/Data!C$61</f>
        <v>0.51126809941169404</v>
      </c>
      <c r="E27">
        <f>Data!D59/Data!D$61</f>
        <v>0.49784127247648952</v>
      </c>
      <c r="F27">
        <f>Data!E59/Data!E$61</f>
        <v>0.45885650079683765</v>
      </c>
      <c r="G27">
        <f>Data!F59/Data!F$61</f>
        <v>0.40546426605305308</v>
      </c>
      <c r="H27">
        <f>Data!G59/Data!G$61</f>
        <v>0.36492048249654052</v>
      </c>
      <c r="I27">
        <f>Data!H59/Data!H$61</f>
        <v>0.44784082456653307</v>
      </c>
      <c r="J27">
        <f>Data!I59/Data!I$61</f>
        <v>0.4339649900302005</v>
      </c>
      <c r="K27">
        <f>Data!J59/Data!J$61</f>
        <v>0.43434999830465754</v>
      </c>
      <c r="L27">
        <f>Data!K59/Data!K$61</f>
        <v>0.48974016371591395</v>
      </c>
    </row>
    <row r="28" spans="2:12" ht="14.25" customHeight="1" x14ac:dyDescent="0.3">
      <c r="B28" s="11" t="str">
        <f>Data!A60</f>
        <v>Other Liabilities</v>
      </c>
      <c r="C28">
        <f>Data!B60/Data!B$61</f>
        <v>0.18794392634111082</v>
      </c>
      <c r="D28">
        <f>Data!C60/Data!C$61</f>
        <v>0.21154136150798414</v>
      </c>
      <c r="E28">
        <f>Data!D60/Data!D$61</f>
        <v>0.20743281787057671</v>
      </c>
      <c r="F28">
        <f>Data!E60/Data!E$61</f>
        <v>0.23507255833972157</v>
      </c>
      <c r="G28">
        <f>Data!F60/Data!F$61</f>
        <v>0.27680268577016126</v>
      </c>
      <c r="H28">
        <f>Data!G60/Data!G$61</f>
        <v>0.29851759895277585</v>
      </c>
      <c r="I28">
        <f>Data!H60/Data!H$61</f>
        <v>0.2797217514979779</v>
      </c>
      <c r="J28">
        <f>Data!I60/Data!I$61</f>
        <v>0.2911999798558117</v>
      </c>
      <c r="K28">
        <f>Data!J60/Data!J$61</f>
        <v>0.23898462250618802</v>
      </c>
      <c r="L28">
        <f>Data!K60/Data!K$61</f>
        <v>0.21330395137968686</v>
      </c>
    </row>
    <row r="29" spans="2:12" ht="15" customHeight="1" x14ac:dyDescent="0.3">
      <c r="B29" s="11"/>
    </row>
    <row r="30" spans="2:12" ht="15" customHeight="1" x14ac:dyDescent="0.3">
      <c r="B30" s="80" t="str">
        <f>Data!A61 &amp; " Liabilities"</f>
        <v>Total Liabilities</v>
      </c>
      <c r="C30" s="81">
        <f>Data!B61/Data!B$61</f>
        <v>1</v>
      </c>
      <c r="D30" s="81">
        <f>Data!C61/Data!C$61</f>
        <v>1</v>
      </c>
      <c r="E30" s="81">
        <f>Data!D61/Data!D$61</f>
        <v>1</v>
      </c>
      <c r="F30" s="81">
        <f>Data!E61/Data!E$61</f>
        <v>1</v>
      </c>
      <c r="G30" s="81">
        <f>Data!F61/Data!F$61</f>
        <v>1</v>
      </c>
      <c r="H30" s="81">
        <f>Data!G61/Data!G$61</f>
        <v>1</v>
      </c>
      <c r="I30" s="81">
        <f>Data!H61/Data!H$61</f>
        <v>1</v>
      </c>
      <c r="J30" s="81">
        <f>Data!I61/Data!I$61</f>
        <v>1</v>
      </c>
      <c r="K30" s="81">
        <f>Data!J61/Data!J$61</f>
        <v>1</v>
      </c>
      <c r="L30" s="81">
        <f>Data!K61/Data!K$61</f>
        <v>1</v>
      </c>
    </row>
    <row r="31" spans="2:12" ht="14.25" customHeight="1" x14ac:dyDescent="0.3">
      <c r="B31" s="11"/>
    </row>
    <row r="32" spans="2:12" ht="14.25" customHeight="1" x14ac:dyDescent="0.3">
      <c r="B32" s="11" t="str">
        <f>Data!A62</f>
        <v>Net Block</v>
      </c>
      <c r="C32">
        <f>Data!B62/Data!B$66</f>
        <v>3.4799559184253877E-2</v>
      </c>
      <c r="D32">
        <f>Data!C62/Data!C$66</f>
        <v>2.8773682314803699E-2</v>
      </c>
      <c r="E32">
        <f>Data!D62/Data!D$66</f>
        <v>2.9159471712609807E-2</v>
      </c>
      <c r="F32">
        <f>Data!E62/Data!E$66</f>
        <v>3.3058597069898575E-2</v>
      </c>
      <c r="G32">
        <f>Data!F62/Data!F$66</f>
        <v>2.4949773562626544E-2</v>
      </c>
      <c r="H32">
        <f>Data!G62/Data!G$66</f>
        <v>2.1154449545991324E-2</v>
      </c>
      <c r="I32">
        <f>Data!H62/Data!H$66</f>
        <v>2.0297377650792377E-2</v>
      </c>
      <c r="J32">
        <f>Data!I62/Data!I$66</f>
        <v>1.8987471259121935E-2</v>
      </c>
      <c r="K32">
        <f>Data!J62/Data!J$66</f>
        <v>2.2227267299496263E-2</v>
      </c>
      <c r="L32">
        <f>Data!K62/Data!K$66</f>
        <v>1.7710967933993828E-2</v>
      </c>
    </row>
    <row r="33" spans="2:12" ht="14.25" customHeight="1" x14ac:dyDescent="0.3">
      <c r="B33" s="11" t="str">
        <f>Data!A63</f>
        <v>Capital Work in Progress</v>
      </c>
      <c r="C33">
        <f>Data!B63/Data!B$66</f>
        <v>0</v>
      </c>
      <c r="D33">
        <f>Data!C63/Data!C$66</f>
        <v>1.0565494056909593E-5</v>
      </c>
      <c r="E33">
        <f>Data!D63/Data!D$66</f>
        <v>1.0617483907272687E-5</v>
      </c>
      <c r="F33">
        <f>Data!E63/Data!E$66</f>
        <v>0</v>
      </c>
      <c r="G33">
        <f>Data!F63/Data!F$66</f>
        <v>0</v>
      </c>
      <c r="H33">
        <f>Data!G63/Data!G$66</f>
        <v>0</v>
      </c>
      <c r="I33">
        <f>Data!H63/Data!H$66</f>
        <v>0</v>
      </c>
      <c r="J33">
        <f>Data!I63/Data!I$66</f>
        <v>0</v>
      </c>
      <c r="K33">
        <f>Data!J63/Data!J$66</f>
        <v>3.379775890460234E-3</v>
      </c>
      <c r="L33">
        <f>Data!K63/Data!K$66</f>
        <v>2.652947100732498E-3</v>
      </c>
    </row>
    <row r="34" spans="2:12" ht="14.25" customHeight="1" x14ac:dyDescent="0.3">
      <c r="B34" s="11" t="str">
        <f>Data!A64</f>
        <v>Investments</v>
      </c>
      <c r="C34">
        <f>Data!B64/Data!B$66</f>
        <v>0.20937562952517511</v>
      </c>
      <c r="D34">
        <f>Data!C64/Data!C$66</f>
        <v>0.26962948733341335</v>
      </c>
      <c r="E34">
        <f>Data!D64/Data!D$66</f>
        <v>0.25925096546711618</v>
      </c>
      <c r="F34">
        <f>Data!E64/Data!E$66</f>
        <v>0.3062891166953105</v>
      </c>
      <c r="G34">
        <f>Data!F64/Data!F$66</f>
        <v>0.27934160458244578</v>
      </c>
      <c r="H34">
        <f>Data!G64/Data!G$66</f>
        <v>0.27787442444487803</v>
      </c>
      <c r="I34">
        <f>Data!H64/Data!H$66</f>
        <v>0.20858876992601508</v>
      </c>
      <c r="J34">
        <f>Data!I64/Data!I$66</f>
        <v>0.20460987159653707</v>
      </c>
      <c r="K34">
        <f>Data!J64/Data!J$66</f>
        <v>0.26095419774180378</v>
      </c>
      <c r="L34">
        <f>Data!K64/Data!K$66</f>
        <v>0.23730397534238432</v>
      </c>
    </row>
    <row r="35" spans="2:12" ht="14.25" customHeight="1" x14ac:dyDescent="0.3">
      <c r="B35" s="11" t="str">
        <f>Data!A65</f>
        <v>Other Assets</v>
      </c>
      <c r="C35" s="11">
        <f>Data!B74/Data!B$66</f>
        <v>0</v>
      </c>
      <c r="D35" s="11">
        <f>Data!C74/Data!C$66</f>
        <v>0</v>
      </c>
      <c r="E35" s="11">
        <f>Data!D74/Data!D$66</f>
        <v>0</v>
      </c>
      <c r="F35" s="11">
        <f>Data!E74/Data!E$66</f>
        <v>0</v>
      </c>
      <c r="G35" s="11">
        <f>Data!F74/Data!F$66</f>
        <v>0</v>
      </c>
      <c r="H35" s="11">
        <f>Data!G74/Data!G$66</f>
        <v>0</v>
      </c>
      <c r="I35" s="11">
        <f>Data!H74/Data!H$66</f>
        <v>0</v>
      </c>
      <c r="J35" s="11">
        <f>Data!I74/Data!I$66</f>
        <v>0</v>
      </c>
      <c r="K35" s="11">
        <f>Data!J74/Data!J$66</f>
        <v>0</v>
      </c>
      <c r="L35" s="11">
        <f>Data!K74/Data!K$66</f>
        <v>0</v>
      </c>
    </row>
    <row r="36" spans="2:12" ht="14.25" customHeight="1" x14ac:dyDescent="0.3">
      <c r="B36" s="11" t="str">
        <f>Data!A67</f>
        <v>Receivables</v>
      </c>
      <c r="C36">
        <f>Data!B67/Data!B$66</f>
        <v>0.14932988896657148</v>
      </c>
      <c r="D36">
        <f>Data!C67/Data!C$66</f>
        <v>0.10021755312762637</v>
      </c>
      <c r="E36">
        <f>Data!D67/Data!D$66</f>
        <v>0.14645660779110967</v>
      </c>
      <c r="F36">
        <f>Data!E67/Data!E$66</f>
        <v>7.3934830879020502E-2</v>
      </c>
      <c r="G36">
        <f>Data!F67/Data!F$66</f>
        <v>6.4895904328696338E-2</v>
      </c>
      <c r="H36">
        <f>Data!G67/Data!G$66</f>
        <v>5.949592551754735E-2</v>
      </c>
      <c r="I36">
        <f>Data!H67/Data!H$66</f>
        <v>4.4841949221042759E-2</v>
      </c>
      <c r="J36">
        <f>Data!I67/Data!I$66</f>
        <v>6.0373391415742994E-2</v>
      </c>
      <c r="K36">
        <f>Data!J67/Data!J$66</f>
        <v>7.0868265988922777E-2</v>
      </c>
      <c r="L36">
        <f>Data!K67/Data!K$66</f>
        <v>9.3503136694055564E-2</v>
      </c>
    </row>
    <row r="37" spans="2:12" ht="14.25" customHeight="1" x14ac:dyDescent="0.3">
      <c r="B37" s="11" t="str">
        <f>Data!A68</f>
        <v>Inventory</v>
      </c>
      <c r="C37">
        <f>Data!B68/Data!B$66</f>
        <v>2.1329794167486285E-5</v>
      </c>
      <c r="D37">
        <f>Data!C68/Data!C$66</f>
        <v>0</v>
      </c>
      <c r="E37">
        <f>Data!D68/Data!D$66</f>
        <v>0</v>
      </c>
      <c r="F37">
        <f>Data!E68/Data!E$66</f>
        <v>0</v>
      </c>
      <c r="G37">
        <f>Data!F68/Data!F$66</f>
        <v>0</v>
      </c>
      <c r="H37">
        <f>Data!G68/Data!G$66</f>
        <v>0</v>
      </c>
      <c r="I37">
        <f>Data!H68/Data!H$66</f>
        <v>0</v>
      </c>
      <c r="J37">
        <f>Data!I68/Data!I$66</f>
        <v>0</v>
      </c>
      <c r="K37">
        <f>Data!J68/Data!J$66</f>
        <v>0</v>
      </c>
      <c r="L37">
        <f>Data!K68/Data!K$66</f>
        <v>0</v>
      </c>
    </row>
    <row r="38" spans="2:12" ht="14.25" customHeight="1" x14ac:dyDescent="0.3">
      <c r="B38" s="11" t="str">
        <f>Data!A69</f>
        <v>Cash &amp; Bank</v>
      </c>
      <c r="C38">
        <f>Data!B69/Data!B$66</f>
        <v>5.4808091101920864E-2</v>
      </c>
      <c r="D38">
        <f>Data!C69/Data!C$66</f>
        <v>4.3579781486372919E-2</v>
      </c>
      <c r="E38">
        <f>Data!D69/Data!D$66</f>
        <v>6.6510814872585367E-2</v>
      </c>
      <c r="F38">
        <f>Data!E69/Data!E$66</f>
        <v>0.13665244887495648</v>
      </c>
      <c r="G38">
        <f>Data!F69/Data!F$66</f>
        <v>0.2491046127133956</v>
      </c>
      <c r="H38">
        <f>Data!G69/Data!G$66</f>
        <v>0.31526155988709242</v>
      </c>
      <c r="I38">
        <f>Data!H69/Data!H$66</f>
        <v>0.38506279284700556</v>
      </c>
      <c r="J38">
        <f>Data!I69/Data!I$66</f>
        <v>0.37994803428918555</v>
      </c>
      <c r="K38">
        <f>Data!J69/Data!J$66</f>
        <v>0.30951735809614511</v>
      </c>
      <c r="L38">
        <f>Data!K69/Data!K$66</f>
        <v>0.3106731467330433</v>
      </c>
    </row>
    <row r="39" spans="2:12" ht="15" customHeight="1" x14ac:dyDescent="0.3"/>
    <row r="40" spans="2:12" ht="15" customHeight="1" x14ac:dyDescent="0.3">
      <c r="B40" s="80" t="str">
        <f>Data!A66 &amp; " Assets"</f>
        <v>Total Assets</v>
      </c>
      <c r="C40" s="81">
        <f>Data!B66/Data!B66</f>
        <v>1</v>
      </c>
      <c r="D40" s="81">
        <f>Data!C66/Data!C66</f>
        <v>1</v>
      </c>
      <c r="E40" s="81">
        <f>Data!D66/Data!D66</f>
        <v>1</v>
      </c>
      <c r="F40" s="81">
        <f>Data!E66/Data!E66</f>
        <v>1</v>
      </c>
      <c r="G40" s="81">
        <f>Data!F66/Data!F66</f>
        <v>1</v>
      </c>
      <c r="H40" s="81">
        <f>Data!G66/Data!G66</f>
        <v>1</v>
      </c>
      <c r="I40" s="81">
        <f>Data!H66/Data!H66</f>
        <v>1</v>
      </c>
      <c r="J40" s="81">
        <f>Data!I66/Data!I66</f>
        <v>1</v>
      </c>
      <c r="K40" s="81">
        <f>Data!J66/Data!J66</f>
        <v>1</v>
      </c>
      <c r="L40" s="81">
        <f>Data!K66/Data!K66</f>
        <v>1</v>
      </c>
    </row>
    <row r="42" spans="2:12" ht="14.25" customHeight="1" x14ac:dyDescent="0.3">
      <c r="B42" s="11"/>
    </row>
    <row r="43" spans="2:12" ht="14.25" customHeight="1" x14ac:dyDescent="0.3">
      <c r="B43" s="11"/>
    </row>
    <row r="44" spans="2:12" ht="14.25" customHeight="1" x14ac:dyDescent="0.3">
      <c r="B44" s="11"/>
    </row>
  </sheetData>
  <mergeCells count="2">
    <mergeCell ref="B2:L2"/>
    <mergeCell ref="B22:L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2:Q22"/>
  <sheetViews>
    <sheetView showGridLines="0" topLeftCell="B1" zoomScale="61" zoomScaleNormal="84" workbookViewId="0">
      <selection activeCell="C33" sqref="C33"/>
    </sheetView>
  </sheetViews>
  <sheetFormatPr defaultColWidth="8.6640625" defaultRowHeight="14.4" x14ac:dyDescent="0.3"/>
  <cols>
    <col min="1" max="1" width="1.88671875" customWidth="1"/>
    <col min="2" max="2" width="24.5546875" customWidth="1"/>
    <col min="4" max="4" width="10.109375" customWidth="1"/>
    <col min="5" max="5" width="16.21875" customWidth="1"/>
    <col min="6" max="6" width="10.5546875" customWidth="1"/>
    <col min="7" max="7" width="8.44140625" customWidth="1"/>
    <col min="8" max="8" width="8.77734375" bestFit="1" customWidth="1"/>
    <col min="10" max="10" width="9" bestFit="1" customWidth="1"/>
    <col min="11" max="12" width="8.77734375" bestFit="1" customWidth="1"/>
    <col min="15" max="15" width="11.5546875" customWidth="1"/>
    <col min="16" max="16" width="10.5546875" customWidth="1"/>
    <col min="17" max="17" width="12" customWidth="1"/>
  </cols>
  <sheetData>
    <row r="2" spans="2:17" ht="14.25" customHeight="1" x14ac:dyDescent="0.3">
      <c r="B2" s="139" t="str">
        <f>"Comp Analysis for " &amp; Data!B1</f>
        <v>Comp Analysis for MOTILAL OSWAL FINANCIAL SERVICES LTD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</row>
    <row r="3" spans="2:17" ht="15" customHeight="1" x14ac:dyDescent="0.3">
      <c r="B3" s="82"/>
      <c r="C3" s="83"/>
      <c r="D3" s="139" t="s">
        <v>256</v>
      </c>
      <c r="E3" s="128"/>
      <c r="F3" s="128"/>
      <c r="G3" s="1"/>
      <c r="H3" s="1"/>
      <c r="I3" s="83"/>
      <c r="J3" s="139" t="s">
        <v>257</v>
      </c>
      <c r="K3" s="128"/>
      <c r="L3" s="128"/>
      <c r="M3" s="128"/>
      <c r="N3" s="83"/>
      <c r="O3" s="139" t="s">
        <v>258</v>
      </c>
      <c r="P3" s="128"/>
      <c r="Q3" s="128"/>
    </row>
    <row r="4" spans="2:17" ht="15" customHeight="1" x14ac:dyDescent="0.3">
      <c r="B4" s="82" t="s">
        <v>259</v>
      </c>
      <c r="C4" s="82"/>
      <c r="D4" s="84" t="s">
        <v>260</v>
      </c>
      <c r="E4" s="84" t="s">
        <v>261</v>
      </c>
      <c r="F4" s="84" t="s">
        <v>262</v>
      </c>
      <c r="G4" s="84" t="s">
        <v>263</v>
      </c>
      <c r="H4" s="84" t="s">
        <v>264</v>
      </c>
      <c r="I4" s="82"/>
      <c r="J4" s="84" t="s">
        <v>265</v>
      </c>
      <c r="K4" s="84" t="s">
        <v>83</v>
      </c>
      <c r="L4" s="84" t="s">
        <v>86</v>
      </c>
      <c r="M4" s="84" t="s">
        <v>266</v>
      </c>
      <c r="N4" s="82"/>
      <c r="O4" s="84" t="s">
        <v>267</v>
      </c>
      <c r="P4" s="84" t="s">
        <v>268</v>
      </c>
      <c r="Q4" s="84" t="s">
        <v>269</v>
      </c>
    </row>
    <row r="5" spans="2:17" ht="14.25" customHeight="1" x14ac:dyDescent="0.3">
      <c r="B5" s="11" t="str">
        <f>Data!B1</f>
        <v>MOTILAL OSWAL FINANCIAL SERVICES LTD</v>
      </c>
      <c r="D5" s="85">
        <f>Data!B8</f>
        <v>940.25</v>
      </c>
      <c r="E5" s="85">
        <f>Data!K93</f>
        <v>60.19</v>
      </c>
      <c r="F5" s="86">
        <f>D5*E5</f>
        <v>56593.647499999999</v>
      </c>
      <c r="G5" s="86">
        <f>'3Statement Model'!L38-'3Statement Model'!L55</f>
        <v>7771.6500000000015</v>
      </c>
      <c r="H5" s="86">
        <f>SUM(F5:G5)</f>
        <v>64365.297500000001</v>
      </c>
      <c r="J5" s="11">
        <f>'3Statement Model'!K7</f>
        <v>8339.5400000000009</v>
      </c>
      <c r="K5" s="75">
        <f>'3Statement Model'!K17</f>
        <v>4545.8000000000011</v>
      </c>
      <c r="L5" s="75">
        <f>'3Statement Model'!K22</f>
        <v>4447.0400000000009</v>
      </c>
      <c r="M5" s="75">
        <f>'3Statement Model'!K32</f>
        <v>2430.5000000000009</v>
      </c>
      <c r="O5" s="87">
        <f>H5/J5</f>
        <v>7.7180872686023445</v>
      </c>
      <c r="P5" s="87">
        <f>H5/K5</f>
        <v>14.159289344009853</v>
      </c>
      <c r="Q5" s="87">
        <f>F5/M5</f>
        <v>23.28477576630322</v>
      </c>
    </row>
    <row r="6" spans="2:17" ht="14.25" customHeight="1" x14ac:dyDescent="0.3">
      <c r="B6" t="s">
        <v>270</v>
      </c>
      <c r="D6" s="85">
        <v>329</v>
      </c>
      <c r="E6" s="85">
        <v>91.34</v>
      </c>
      <c r="F6" s="86">
        <f>D6*E6</f>
        <v>30050.86</v>
      </c>
      <c r="G6" s="85">
        <v>7951</v>
      </c>
      <c r="H6" s="86">
        <f>SUM(F6:G6)</f>
        <v>38001.86</v>
      </c>
      <c r="J6" s="88">
        <v>5426</v>
      </c>
      <c r="K6" s="88">
        <v>2028</v>
      </c>
      <c r="L6" s="88">
        <v>1898</v>
      </c>
      <c r="M6" s="88">
        <v>1032</v>
      </c>
      <c r="O6" s="87">
        <f>H6/J6</f>
        <v>7.0036601548101736</v>
      </c>
      <c r="P6" s="87">
        <f>H6/K6</f>
        <v>18.738589743589745</v>
      </c>
      <c r="Q6" s="87">
        <f>F6/M6</f>
        <v>29.1190503875969</v>
      </c>
    </row>
    <row r="7" spans="2:17" ht="14.25" customHeight="1" x14ac:dyDescent="0.3">
      <c r="B7" t="s">
        <v>271</v>
      </c>
      <c r="D7" s="89">
        <v>1854</v>
      </c>
      <c r="E7" s="85">
        <v>18.25</v>
      </c>
      <c r="F7" s="86">
        <f>D7*E7</f>
        <v>33835.5</v>
      </c>
      <c r="G7" s="85">
        <v>0</v>
      </c>
      <c r="H7" s="86">
        <f>SUM(F7:G7)</f>
        <v>33835.5</v>
      </c>
      <c r="J7" s="88">
        <v>4158</v>
      </c>
      <c r="K7" s="88">
        <v>2227</v>
      </c>
      <c r="L7" s="88">
        <v>2132</v>
      </c>
      <c r="M7" s="88">
        <v>977</v>
      </c>
      <c r="O7" s="87">
        <f>H7/J7</f>
        <v>8.137445887445887</v>
      </c>
      <c r="P7" s="87">
        <f>H7/K7</f>
        <v>15.193309384822632</v>
      </c>
      <c r="Q7" s="87">
        <f>F7/M7</f>
        <v>34.632036847492323</v>
      </c>
    </row>
    <row r="8" spans="2:17" ht="14.25" customHeight="1" x14ac:dyDescent="0.3">
      <c r="B8" t="s">
        <v>272</v>
      </c>
      <c r="D8" s="89">
        <v>125.81</v>
      </c>
      <c r="E8" s="85">
        <v>92.3</v>
      </c>
      <c r="F8" s="86">
        <f>D8*E8</f>
        <v>11612.262999999999</v>
      </c>
      <c r="G8" s="85">
        <v>0</v>
      </c>
      <c r="H8" s="86">
        <f>SUM(F8:G8)</f>
        <v>11612.262999999999</v>
      </c>
      <c r="J8" s="88">
        <v>4223</v>
      </c>
      <c r="K8" s="88">
        <v>1612</v>
      </c>
      <c r="L8" s="88">
        <v>1503</v>
      </c>
      <c r="M8" s="88">
        <v>1201</v>
      </c>
      <c r="O8" s="87">
        <f>H8/J8</f>
        <v>2.7497662798958085</v>
      </c>
      <c r="P8" s="87">
        <f>H8/K8</f>
        <v>7.2036370967741927</v>
      </c>
      <c r="Q8" s="87">
        <f>F8/M8</f>
        <v>9.6688284762697752</v>
      </c>
    </row>
    <row r="10" spans="2:17" ht="14.25" customHeight="1" x14ac:dyDescent="0.3">
      <c r="B10" t="s">
        <v>273</v>
      </c>
      <c r="O10" s="87">
        <f>MAX(O5:O8)</f>
        <v>8.137445887445887</v>
      </c>
      <c r="P10" s="87">
        <f>_xlfn.AGGREGATE(4,6,P5:P8)</f>
        <v>18.738589743589745</v>
      </c>
      <c r="Q10" s="87">
        <f>MAX(Q5:Q8)</f>
        <v>34.632036847492323</v>
      </c>
    </row>
    <row r="11" spans="2:17" ht="14.25" customHeight="1" x14ac:dyDescent="0.3">
      <c r="B11" t="s">
        <v>274</v>
      </c>
      <c r="O11" s="87">
        <f>QUARTILE(O5:O8,3)</f>
        <v>7.8229269233132301</v>
      </c>
      <c r="P11" s="87">
        <f>_xlfn.AGGREGATE(17,6,P5:P8,3)</f>
        <v>16.079629474514409</v>
      </c>
      <c r="Q11" s="87">
        <f>QUARTILE(Q5:Q8,3)</f>
        <v>30.497297002570754</v>
      </c>
    </row>
    <row r="12" spans="2:17" ht="14.25" customHeight="1" x14ac:dyDescent="0.3">
      <c r="B12" t="s">
        <v>275</v>
      </c>
      <c r="O12" s="87">
        <f>MEDIAN(O5:O8)</f>
        <v>7.360873711706259</v>
      </c>
      <c r="P12" s="87">
        <f>_xlfn.AGGREGATE(12,6,P5:P8)</f>
        <v>14.676299364416241</v>
      </c>
      <c r="Q12" s="87">
        <f>MEDIAN(Q5:Q8)</f>
        <v>26.20191307695006</v>
      </c>
    </row>
    <row r="13" spans="2:17" ht="14.25" customHeight="1" x14ac:dyDescent="0.3">
      <c r="B13" t="s">
        <v>276</v>
      </c>
      <c r="O13" s="87">
        <f>AVERAGE(O5:O8)</f>
        <v>6.4022398976885535</v>
      </c>
      <c r="P13" s="87">
        <f>_xlfn.AGGREGATE(1,6,P5:P8)</f>
        <v>13.823706392299107</v>
      </c>
      <c r="Q13" s="87">
        <f>AVERAGE(Q5:Q8)</f>
        <v>24.176172869415556</v>
      </c>
    </row>
    <row r="14" spans="2:17" ht="14.25" customHeight="1" x14ac:dyDescent="0.3">
      <c r="B14" t="s">
        <v>277</v>
      </c>
      <c r="O14" s="87">
        <f>QUARTILE(O5:O8,1)</f>
        <v>5.9401866860815815</v>
      </c>
      <c r="P14" s="87">
        <f>_xlfn.AGGREGATE(17,6,P5:P8,1)</f>
        <v>12.420376282200937</v>
      </c>
      <c r="Q14" s="87">
        <f>QUARTILE(Q5:Q8,1)</f>
        <v>19.880788943794858</v>
      </c>
    </row>
    <row r="15" spans="2:17" ht="14.25" customHeight="1" x14ac:dyDescent="0.3">
      <c r="B15" t="s">
        <v>278</v>
      </c>
      <c r="O15" s="87">
        <f>MIN(O5:O8)</f>
        <v>2.7497662798958085</v>
      </c>
      <c r="P15" s="87">
        <f>_xlfn.AGGREGATE(5,6,P5:P8)</f>
        <v>7.2036370967741927</v>
      </c>
      <c r="Q15" s="87">
        <f>MIN(Q5:Q8)</f>
        <v>9.6688284762697752</v>
      </c>
    </row>
    <row r="16" spans="2:17" ht="15" customHeight="1" x14ac:dyDescent="0.3"/>
    <row r="17" spans="2:17" ht="15" customHeight="1" x14ac:dyDescent="0.3">
      <c r="B17" s="11" t="str">
        <f>B5</f>
        <v>MOTILAL OSWAL FINANCIAL SERVICES LTD</v>
      </c>
      <c r="O17" s="84" t="s">
        <v>267</v>
      </c>
      <c r="P17" s="84" t="s">
        <v>268</v>
      </c>
      <c r="Q17" s="84" t="s">
        <v>269</v>
      </c>
    </row>
    <row r="18" spans="2:17" ht="14.25" customHeight="1" x14ac:dyDescent="0.3">
      <c r="B18" t="s">
        <v>279</v>
      </c>
      <c r="O18">
        <f>$J$5*O12</f>
        <v>61386.300753722819</v>
      </c>
      <c r="P18">
        <f>$K$5*P12</f>
        <v>66715.52165076336</v>
      </c>
    </row>
    <row r="19" spans="2:17" ht="14.25" customHeight="1" x14ac:dyDescent="0.3">
      <c r="B19" t="s">
        <v>280</v>
      </c>
      <c r="O19" s="86">
        <f>$G$5</f>
        <v>7771.6500000000015</v>
      </c>
      <c r="P19" s="86">
        <f>$G$5</f>
        <v>7771.6500000000015</v>
      </c>
      <c r="Q19" s="86"/>
    </row>
    <row r="20" spans="2:17" ht="14.25" customHeight="1" x14ac:dyDescent="0.3">
      <c r="B20" t="s">
        <v>281</v>
      </c>
      <c r="O20" s="86">
        <f>O18-O19</f>
        <v>53614.650753722817</v>
      </c>
      <c r="P20" s="86">
        <f>P18-P19</f>
        <v>58943.871650763358</v>
      </c>
      <c r="Q20" s="86">
        <f>$M$5*Q12</f>
        <v>63683.749733527147</v>
      </c>
    </row>
    <row r="21" spans="2:17" ht="14.25" customHeight="1" x14ac:dyDescent="0.3">
      <c r="B21" t="s">
        <v>282</v>
      </c>
      <c r="O21" s="86">
        <f>$E$5</f>
        <v>60.19</v>
      </c>
      <c r="P21" s="86">
        <f>$E$5</f>
        <v>60.19</v>
      </c>
      <c r="Q21" s="86">
        <f>$E$5</f>
        <v>60.19</v>
      </c>
    </row>
    <row r="22" spans="2:17" ht="14.25" customHeight="1" x14ac:dyDescent="0.3">
      <c r="B22" s="90" t="s">
        <v>283</v>
      </c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>
        <f>O20/O21</f>
        <v>890.7567827500053</v>
      </c>
      <c r="P22" s="90">
        <f>P20/P21</f>
        <v>979.29675445694238</v>
      </c>
      <c r="Q22" s="90">
        <f>Q20/Q21</f>
        <v>1058.0453519442956</v>
      </c>
    </row>
  </sheetData>
  <mergeCells count="4">
    <mergeCell ref="B2:Q2"/>
    <mergeCell ref="D3:F3"/>
    <mergeCell ref="O3:Q3"/>
    <mergeCell ref="J3:M3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93"/>
  <sheetViews>
    <sheetView zoomScale="101" zoomScaleNormal="101" workbookViewId="0">
      <pane xSplit="1" ySplit="1" topLeftCell="B2" activePane="bottomRight" state="frozen"/>
      <selection pane="topRight" activeCell="B1" sqref="B1"/>
      <selection pane="bottomLeft" activeCell="A79" sqref="A79"/>
      <selection pane="bottomRight" activeCell="J93" sqref="J93"/>
    </sheetView>
  </sheetViews>
  <sheetFormatPr defaultColWidth="8.77734375" defaultRowHeight="14.4" x14ac:dyDescent="0.3"/>
  <cols>
    <col min="1" max="1" width="27.6640625" style="92" bestFit="1" customWidth="1"/>
    <col min="2" max="11" width="13.44140625" style="92" bestFit="1" customWidth="1"/>
    <col min="12" max="12" width="8.77734375" style="92" customWidth="1"/>
    <col min="13" max="16384" width="8.77734375" style="92"/>
  </cols>
  <sheetData>
    <row r="1" spans="1:11" s="91" customFormat="1" x14ac:dyDescent="0.3">
      <c r="A1" s="91" t="s">
        <v>284</v>
      </c>
      <c r="B1" s="91" t="s">
        <v>285</v>
      </c>
      <c r="E1" s="147" t="str">
        <f>IF(B2&lt;&gt;B3, "A NEW VERSION OF THE WORKSHEET IS AVAILABLE", "")</f>
        <v/>
      </c>
      <c r="F1" s="148"/>
      <c r="G1" s="148"/>
      <c r="H1" s="148"/>
      <c r="I1" s="148"/>
      <c r="J1" s="148"/>
      <c r="K1" s="148"/>
    </row>
    <row r="2" spans="1:11" x14ac:dyDescent="0.3">
      <c r="A2" s="91" t="s">
        <v>286</v>
      </c>
      <c r="B2" s="92">
        <v>2.1</v>
      </c>
      <c r="E2" s="145" t="s">
        <v>287</v>
      </c>
      <c r="F2" s="146"/>
      <c r="G2" s="146"/>
      <c r="H2" s="146"/>
      <c r="I2" s="146"/>
      <c r="J2" s="146"/>
      <c r="K2" s="146"/>
    </row>
    <row r="3" spans="1:11" x14ac:dyDescent="0.3">
      <c r="A3" s="91" t="s">
        <v>288</v>
      </c>
      <c r="B3" s="92">
        <v>2.1</v>
      </c>
    </row>
    <row r="4" spans="1:11" x14ac:dyDescent="0.3">
      <c r="A4" s="91"/>
    </row>
    <row r="5" spans="1:11" x14ac:dyDescent="0.3">
      <c r="A5" s="91" t="s">
        <v>289</v>
      </c>
    </row>
    <row r="6" spans="1:11" x14ac:dyDescent="0.3">
      <c r="A6" s="92" t="s">
        <v>290</v>
      </c>
      <c r="B6" s="92">
        <f>IF(B9&gt;0, B9/B8, 0)</f>
        <v>60.068162722680135</v>
      </c>
    </row>
    <row r="7" spans="1:11" x14ac:dyDescent="0.3">
      <c r="A7" s="92" t="s">
        <v>291</v>
      </c>
      <c r="B7">
        <v>1</v>
      </c>
    </row>
    <row r="8" spans="1:11" x14ac:dyDescent="0.3">
      <c r="A8" s="92" t="s">
        <v>292</v>
      </c>
      <c r="B8">
        <v>940.25</v>
      </c>
    </row>
    <row r="9" spans="1:11" x14ac:dyDescent="0.3">
      <c r="A9" s="92" t="s">
        <v>293</v>
      </c>
      <c r="B9">
        <v>56479.09</v>
      </c>
    </row>
    <row r="15" spans="1:11" x14ac:dyDescent="0.3">
      <c r="A15" s="91" t="s">
        <v>294</v>
      </c>
    </row>
    <row r="16" spans="1:11" s="95" customFormat="1" x14ac:dyDescent="0.3">
      <c r="A16" s="93" t="s">
        <v>295</v>
      </c>
      <c r="B16" s="94">
        <v>42825</v>
      </c>
      <c r="C16" s="94">
        <v>43190</v>
      </c>
      <c r="D16" s="94">
        <v>43555</v>
      </c>
      <c r="E16" s="94">
        <v>43921</v>
      </c>
      <c r="F16" s="94">
        <v>44286</v>
      </c>
      <c r="G16" s="94">
        <v>44651</v>
      </c>
      <c r="H16" s="94">
        <v>45016</v>
      </c>
      <c r="I16" s="94">
        <v>45382</v>
      </c>
      <c r="J16" s="94">
        <v>45747</v>
      </c>
      <c r="K16" s="94">
        <v>46112</v>
      </c>
    </row>
    <row r="17" spans="1:11" s="96" customFormat="1" x14ac:dyDescent="0.3">
      <c r="A17" s="96" t="s">
        <v>18</v>
      </c>
      <c r="B17">
        <v>1922.84</v>
      </c>
      <c r="C17">
        <v>2751.34</v>
      </c>
      <c r="D17">
        <v>2449.92</v>
      </c>
      <c r="E17">
        <v>2357.88</v>
      </c>
      <c r="F17">
        <v>3625.93</v>
      </c>
      <c r="G17">
        <v>4298.05</v>
      </c>
      <c r="H17">
        <v>4177.76</v>
      </c>
      <c r="I17">
        <v>7069.35</v>
      </c>
      <c r="J17">
        <v>8339.5400000000009</v>
      </c>
      <c r="K17">
        <v>9381.3700000000008</v>
      </c>
    </row>
    <row r="18" spans="1:11" s="96" customFormat="1" x14ac:dyDescent="0.3">
      <c r="A18" s="92" t="s">
        <v>247</v>
      </c>
      <c r="K18">
        <v>1424.69</v>
      </c>
    </row>
    <row r="19" spans="1:11" s="96" customFormat="1" x14ac:dyDescent="0.3">
      <c r="A19" s="92" t="s">
        <v>248</v>
      </c>
    </row>
    <row r="20" spans="1:11" s="96" customFormat="1" x14ac:dyDescent="0.3">
      <c r="A20" s="92" t="s">
        <v>249</v>
      </c>
      <c r="B20">
        <v>7.88</v>
      </c>
      <c r="C20">
        <v>8.3699999999999992</v>
      </c>
      <c r="D20">
        <v>8.58</v>
      </c>
      <c r="E20">
        <v>8.9600000000000009</v>
      </c>
      <c r="F20">
        <v>6.99</v>
      </c>
      <c r="G20">
        <v>8.64</v>
      </c>
      <c r="H20">
        <v>11.34</v>
      </c>
      <c r="I20">
        <v>11.23</v>
      </c>
      <c r="J20">
        <v>14.4</v>
      </c>
      <c r="K20">
        <v>11.88</v>
      </c>
    </row>
    <row r="21" spans="1:11" s="96" customFormat="1" x14ac:dyDescent="0.3">
      <c r="A21" s="92" t="s">
        <v>250</v>
      </c>
      <c r="B21">
        <v>10.66</v>
      </c>
      <c r="C21">
        <v>502.81</v>
      </c>
      <c r="D21">
        <v>475.3</v>
      </c>
      <c r="E21">
        <v>701.6</v>
      </c>
      <c r="F21">
        <v>654.01</v>
      </c>
      <c r="G21">
        <v>917.68</v>
      </c>
      <c r="H21">
        <v>895.37</v>
      </c>
      <c r="I21">
        <v>1179.25</v>
      </c>
      <c r="J21">
        <v>1395.05</v>
      </c>
      <c r="K21">
        <v>1395.49</v>
      </c>
    </row>
    <row r="22" spans="1:11" s="96" customFormat="1" x14ac:dyDescent="0.3">
      <c r="A22" s="92" t="s">
        <v>251</v>
      </c>
      <c r="B22">
        <v>353.4</v>
      </c>
      <c r="C22">
        <v>492.08</v>
      </c>
      <c r="D22">
        <v>501.77</v>
      </c>
      <c r="E22">
        <v>539.79999999999995</v>
      </c>
      <c r="F22">
        <v>643.58000000000004</v>
      </c>
      <c r="G22">
        <v>867.58</v>
      </c>
      <c r="H22">
        <v>1008.38</v>
      </c>
      <c r="I22">
        <v>1329.81</v>
      </c>
      <c r="J22">
        <v>1741.39</v>
      </c>
      <c r="K22">
        <v>1972.84</v>
      </c>
    </row>
    <row r="23" spans="1:11" s="96" customFormat="1" x14ac:dyDescent="0.3">
      <c r="A23" s="92" t="s">
        <v>252</v>
      </c>
      <c r="B23">
        <v>344.62</v>
      </c>
      <c r="C23">
        <v>169.36</v>
      </c>
      <c r="D23">
        <v>159.61000000000001</v>
      </c>
      <c r="E23">
        <v>159.87</v>
      </c>
      <c r="F23">
        <v>169.69</v>
      </c>
      <c r="G23">
        <v>241.79</v>
      </c>
      <c r="H23">
        <v>289.39</v>
      </c>
      <c r="I23">
        <v>360.75</v>
      </c>
      <c r="J23">
        <v>526.36</v>
      </c>
      <c r="K23">
        <v>504.19</v>
      </c>
    </row>
    <row r="24" spans="1:11" s="96" customFormat="1" x14ac:dyDescent="0.3">
      <c r="A24" s="92" t="s">
        <v>253</v>
      </c>
      <c r="B24">
        <v>198.46</v>
      </c>
      <c r="C24">
        <v>184.72</v>
      </c>
      <c r="D24">
        <v>397.78</v>
      </c>
      <c r="E24">
        <v>135.81</v>
      </c>
      <c r="F24">
        <v>135.53</v>
      </c>
      <c r="G24">
        <v>141.88</v>
      </c>
      <c r="H24">
        <v>96.18</v>
      </c>
      <c r="I24">
        <v>120.88</v>
      </c>
      <c r="J24">
        <v>116.54</v>
      </c>
      <c r="K24">
        <v>195.21</v>
      </c>
    </row>
    <row r="25" spans="1:11" s="96" customFormat="1" x14ac:dyDescent="0.3">
      <c r="A25" s="96" t="s">
        <v>21</v>
      </c>
      <c r="B25">
        <v>-27.1</v>
      </c>
      <c r="C25">
        <v>1</v>
      </c>
      <c r="D25">
        <v>11.82</v>
      </c>
      <c r="E25">
        <v>7.53</v>
      </c>
      <c r="F25">
        <v>-79.91</v>
      </c>
      <c r="G25">
        <v>21.78</v>
      </c>
      <c r="H25">
        <v>19.36</v>
      </c>
      <c r="I25">
        <v>61.17</v>
      </c>
      <c r="J25">
        <v>77.680000000000007</v>
      </c>
      <c r="K25">
        <v>42.08</v>
      </c>
    </row>
    <row r="26" spans="1:11" s="96" customFormat="1" x14ac:dyDescent="0.3">
      <c r="A26" s="96" t="s">
        <v>22</v>
      </c>
      <c r="B26">
        <v>32.840000000000003</v>
      </c>
      <c r="C26">
        <v>37.49</v>
      </c>
      <c r="D26">
        <v>23.95</v>
      </c>
      <c r="E26">
        <v>39.71</v>
      </c>
      <c r="F26">
        <v>47.52</v>
      </c>
      <c r="G26">
        <v>48.26</v>
      </c>
      <c r="H26">
        <v>58.38</v>
      </c>
      <c r="I26">
        <v>82.58</v>
      </c>
      <c r="J26">
        <v>98.76</v>
      </c>
      <c r="K26">
        <v>110.67</v>
      </c>
    </row>
    <row r="27" spans="1:11" s="96" customFormat="1" x14ac:dyDescent="0.3">
      <c r="A27" s="96" t="s">
        <v>23</v>
      </c>
      <c r="B27">
        <v>442.26</v>
      </c>
      <c r="C27">
        <v>528.42999999999995</v>
      </c>
      <c r="D27">
        <v>516.85</v>
      </c>
      <c r="E27">
        <v>494.47</v>
      </c>
      <c r="F27">
        <v>430.28</v>
      </c>
      <c r="G27">
        <v>478.19</v>
      </c>
      <c r="H27">
        <v>595.83000000000004</v>
      </c>
      <c r="I27">
        <v>1014.14</v>
      </c>
      <c r="J27">
        <v>1298.46</v>
      </c>
      <c r="K27">
        <v>1336.41</v>
      </c>
    </row>
    <row r="28" spans="1:11" s="96" customFormat="1" x14ac:dyDescent="0.3">
      <c r="A28" s="96" t="s">
        <v>24</v>
      </c>
      <c r="B28">
        <v>505.62</v>
      </c>
      <c r="C28">
        <v>829.08</v>
      </c>
      <c r="D28">
        <v>377.9</v>
      </c>
      <c r="E28">
        <v>285.19</v>
      </c>
      <c r="F28">
        <v>1458.42</v>
      </c>
      <c r="G28">
        <v>1615.81</v>
      </c>
      <c r="H28">
        <v>1242.25</v>
      </c>
      <c r="I28">
        <v>3031.88</v>
      </c>
      <c r="J28">
        <v>3226.26</v>
      </c>
      <c r="K28">
        <v>2472.0700000000002</v>
      </c>
    </row>
    <row r="29" spans="1:11" s="96" customFormat="1" x14ac:dyDescent="0.3">
      <c r="A29" s="96" t="s">
        <v>25</v>
      </c>
      <c r="B29">
        <v>141.09</v>
      </c>
      <c r="C29">
        <v>205.86</v>
      </c>
      <c r="D29">
        <v>92.65</v>
      </c>
      <c r="E29">
        <v>69.790000000000006</v>
      </c>
      <c r="F29">
        <v>255.46</v>
      </c>
      <c r="G29">
        <v>305.08999999999997</v>
      </c>
      <c r="H29">
        <v>309.43</v>
      </c>
      <c r="I29">
        <v>586.26</v>
      </c>
      <c r="J29">
        <v>718.08</v>
      </c>
      <c r="K29">
        <v>599.61</v>
      </c>
    </row>
    <row r="30" spans="1:11" s="96" customFormat="1" x14ac:dyDescent="0.3">
      <c r="A30" s="96" t="s">
        <v>26</v>
      </c>
      <c r="B30">
        <v>359.97</v>
      </c>
      <c r="C30">
        <v>622.28</v>
      </c>
      <c r="D30">
        <v>293.97000000000003</v>
      </c>
      <c r="E30">
        <v>183.37</v>
      </c>
      <c r="F30">
        <v>1260.44</v>
      </c>
      <c r="G30">
        <v>1309.78</v>
      </c>
      <c r="H30">
        <v>931.69</v>
      </c>
      <c r="I30">
        <v>2441.06</v>
      </c>
      <c r="J30">
        <v>2501.64</v>
      </c>
      <c r="K30">
        <v>1869.31</v>
      </c>
    </row>
    <row r="31" spans="1:11" s="96" customFormat="1" x14ac:dyDescent="0.3">
      <c r="A31" s="96" t="s">
        <v>254</v>
      </c>
      <c r="B31">
        <v>79.48</v>
      </c>
      <c r="C31">
        <v>123.34</v>
      </c>
      <c r="D31">
        <v>123.84</v>
      </c>
      <c r="E31">
        <v>59.24</v>
      </c>
      <c r="F31">
        <v>148.5</v>
      </c>
      <c r="G31">
        <v>149.1</v>
      </c>
      <c r="H31">
        <v>147.9</v>
      </c>
      <c r="I31">
        <v>208.6</v>
      </c>
      <c r="J31">
        <v>299.64999999999998</v>
      </c>
      <c r="K31">
        <v>361.14</v>
      </c>
    </row>
    <row r="32" spans="1:11" s="96" customFormat="1" x14ac:dyDescent="0.3"/>
    <row r="33" spans="1:11" x14ac:dyDescent="0.3">
      <c r="A33" s="96"/>
    </row>
    <row r="34" spans="1:11" x14ac:dyDescent="0.3">
      <c r="A34" s="96"/>
    </row>
    <row r="35" spans="1:11" x14ac:dyDescent="0.3">
      <c r="A35" s="96"/>
    </row>
    <row r="36" spans="1:11" x14ac:dyDescent="0.3">
      <c r="A36" s="96"/>
    </row>
    <row r="37" spans="1:11" x14ac:dyDescent="0.3">
      <c r="A37" s="96"/>
    </row>
    <row r="38" spans="1:11" x14ac:dyDescent="0.3">
      <c r="A38" s="96"/>
    </row>
    <row r="39" spans="1:11" x14ac:dyDescent="0.3">
      <c r="A39" s="96"/>
    </row>
    <row r="40" spans="1:11" x14ac:dyDescent="0.3">
      <c r="A40" s="91" t="s">
        <v>296</v>
      </c>
    </row>
    <row r="41" spans="1:11" s="95" customFormat="1" x14ac:dyDescent="0.3">
      <c r="A41" s="93" t="s">
        <v>295</v>
      </c>
      <c r="B41" s="94">
        <v>45382</v>
      </c>
      <c r="C41" s="94">
        <v>45473</v>
      </c>
      <c r="D41" s="94">
        <v>45565</v>
      </c>
      <c r="E41" s="94">
        <v>45657</v>
      </c>
      <c r="F41" s="94">
        <v>45747</v>
      </c>
      <c r="G41" s="94">
        <v>45838</v>
      </c>
      <c r="H41" s="94">
        <v>45930</v>
      </c>
      <c r="I41" s="94">
        <v>46022</v>
      </c>
      <c r="J41" s="94">
        <v>46112</v>
      </c>
      <c r="K41" s="94">
        <v>46203</v>
      </c>
    </row>
    <row r="42" spans="1:11" s="96" customFormat="1" x14ac:dyDescent="0.3">
      <c r="A42" s="96" t="s">
        <v>18</v>
      </c>
      <c r="B42">
        <v>2153.84</v>
      </c>
      <c r="C42">
        <v>2314.31</v>
      </c>
      <c r="D42">
        <v>2841.06</v>
      </c>
      <c r="E42">
        <v>1993.42</v>
      </c>
      <c r="F42">
        <v>1190.26</v>
      </c>
      <c r="G42">
        <v>2737.03</v>
      </c>
      <c r="H42">
        <v>1849.11</v>
      </c>
      <c r="I42">
        <v>2111.66</v>
      </c>
      <c r="J42">
        <v>2676.2</v>
      </c>
      <c r="K42">
        <v>3425.76</v>
      </c>
    </row>
    <row r="43" spans="1:11" s="96" customFormat="1" x14ac:dyDescent="0.3">
      <c r="A43" s="96" t="s">
        <v>19</v>
      </c>
      <c r="B43">
        <v>916.26</v>
      </c>
      <c r="C43">
        <v>926.18</v>
      </c>
      <c r="D43">
        <v>1025.07</v>
      </c>
      <c r="E43">
        <v>931.96</v>
      </c>
      <c r="F43">
        <v>910.5</v>
      </c>
      <c r="G43">
        <v>1017.5</v>
      </c>
      <c r="H43">
        <v>1009.2</v>
      </c>
      <c r="I43">
        <v>1006.24</v>
      </c>
      <c r="J43">
        <v>2471.33</v>
      </c>
      <c r="K43">
        <v>1456.25</v>
      </c>
    </row>
    <row r="44" spans="1:11" s="96" customFormat="1" x14ac:dyDescent="0.3">
      <c r="A44" s="96" t="s">
        <v>21</v>
      </c>
      <c r="B44">
        <v>18.09</v>
      </c>
      <c r="C44">
        <v>18.850000000000001</v>
      </c>
      <c r="D44">
        <v>15.38</v>
      </c>
      <c r="E44">
        <v>25.65</v>
      </c>
      <c r="F44">
        <v>18.29</v>
      </c>
      <c r="G44">
        <v>7.12</v>
      </c>
      <c r="H44">
        <v>10.76</v>
      </c>
      <c r="I44">
        <v>8.5</v>
      </c>
      <c r="J44">
        <v>16.05</v>
      </c>
      <c r="K44">
        <v>6.47</v>
      </c>
    </row>
    <row r="45" spans="1:11" s="96" customFormat="1" x14ac:dyDescent="0.3">
      <c r="A45" s="96" t="s">
        <v>22</v>
      </c>
      <c r="B45">
        <v>23.94</v>
      </c>
      <c r="C45">
        <v>21.84</v>
      </c>
      <c r="D45">
        <v>23.41</v>
      </c>
      <c r="E45">
        <v>27.3</v>
      </c>
      <c r="F45">
        <v>26.22</v>
      </c>
      <c r="G45">
        <v>26.14</v>
      </c>
      <c r="H45">
        <v>27.77</v>
      </c>
      <c r="I45">
        <v>29.11</v>
      </c>
      <c r="J45">
        <v>27.65</v>
      </c>
      <c r="K45">
        <v>27.89</v>
      </c>
    </row>
    <row r="46" spans="1:11" s="96" customFormat="1" x14ac:dyDescent="0.3">
      <c r="A46" s="96" t="s">
        <v>23</v>
      </c>
      <c r="B46">
        <v>302.02</v>
      </c>
      <c r="C46">
        <v>326.54000000000002</v>
      </c>
      <c r="D46">
        <v>354.29</v>
      </c>
      <c r="E46">
        <v>319.14999999999998</v>
      </c>
      <c r="F46">
        <v>298.49</v>
      </c>
      <c r="G46">
        <v>294.92</v>
      </c>
      <c r="H46">
        <v>317.39</v>
      </c>
      <c r="I46">
        <v>336.38</v>
      </c>
      <c r="J46">
        <v>387.72</v>
      </c>
      <c r="K46">
        <v>414.24</v>
      </c>
    </row>
    <row r="47" spans="1:11" s="96" customFormat="1" x14ac:dyDescent="0.3">
      <c r="A47" s="96" t="s">
        <v>24</v>
      </c>
      <c r="B47">
        <v>929.71</v>
      </c>
      <c r="C47">
        <v>1058.5999999999999</v>
      </c>
      <c r="D47">
        <v>1453.67</v>
      </c>
      <c r="E47">
        <v>740.66</v>
      </c>
      <c r="F47">
        <v>-26.66</v>
      </c>
      <c r="G47">
        <v>1405.59</v>
      </c>
      <c r="H47">
        <v>505.51</v>
      </c>
      <c r="I47">
        <v>748.43</v>
      </c>
      <c r="J47">
        <v>-194.45</v>
      </c>
      <c r="K47">
        <v>1533.85</v>
      </c>
    </row>
    <row r="48" spans="1:11" s="96" customFormat="1" x14ac:dyDescent="0.3">
      <c r="A48" s="96" t="s">
        <v>25</v>
      </c>
      <c r="B48">
        <v>205.11</v>
      </c>
      <c r="C48">
        <v>175.02</v>
      </c>
      <c r="D48">
        <v>331.87</v>
      </c>
      <c r="E48">
        <v>174.66</v>
      </c>
      <c r="F48">
        <v>36.520000000000003</v>
      </c>
      <c r="G48">
        <v>249.75</v>
      </c>
      <c r="H48">
        <v>142.94999999999999</v>
      </c>
      <c r="I48">
        <v>182.26</v>
      </c>
      <c r="J48">
        <v>24.66</v>
      </c>
      <c r="K48">
        <v>260.14</v>
      </c>
    </row>
    <row r="49" spans="1:11" s="96" customFormat="1" x14ac:dyDescent="0.3">
      <c r="A49" s="96" t="s">
        <v>26</v>
      </c>
      <c r="B49">
        <v>723.05</v>
      </c>
      <c r="C49">
        <v>881.89</v>
      </c>
      <c r="D49">
        <v>1120.08</v>
      </c>
      <c r="E49">
        <v>564.52</v>
      </c>
      <c r="F49">
        <v>-64.77</v>
      </c>
      <c r="G49">
        <v>1162.06</v>
      </c>
      <c r="H49">
        <v>362.42</v>
      </c>
      <c r="I49">
        <v>565.97</v>
      </c>
      <c r="J49">
        <v>-221.28</v>
      </c>
      <c r="K49">
        <v>1273.1099999999999</v>
      </c>
    </row>
    <row r="50" spans="1:11" x14ac:dyDescent="0.3">
      <c r="A50" s="96" t="s">
        <v>20</v>
      </c>
      <c r="B50">
        <v>1237.58</v>
      </c>
      <c r="C50">
        <v>1388.13</v>
      </c>
      <c r="D50">
        <v>1815.99</v>
      </c>
      <c r="E50">
        <v>1061.46</v>
      </c>
      <c r="F50">
        <v>279.76</v>
      </c>
      <c r="G50">
        <v>1719.53</v>
      </c>
      <c r="H50">
        <v>839.91</v>
      </c>
      <c r="I50">
        <v>1105.42</v>
      </c>
      <c r="J50">
        <v>204.87</v>
      </c>
      <c r="K50">
        <v>1969.51</v>
      </c>
    </row>
    <row r="51" spans="1:11" x14ac:dyDescent="0.3">
      <c r="A51" s="96"/>
    </row>
    <row r="52" spans="1:11" x14ac:dyDescent="0.3">
      <c r="A52" s="96"/>
    </row>
    <row r="53" spans="1:11" x14ac:dyDescent="0.3">
      <c r="A53" s="96"/>
    </row>
    <row r="54" spans="1:11" x14ac:dyDescent="0.3">
      <c r="A54" s="96"/>
    </row>
    <row r="55" spans="1:11" x14ac:dyDescent="0.3">
      <c r="A55" s="91" t="s">
        <v>297</v>
      </c>
    </row>
    <row r="56" spans="1:11" s="95" customFormat="1" x14ac:dyDescent="0.3">
      <c r="A56" s="93" t="s">
        <v>295</v>
      </c>
      <c r="B56" s="94">
        <v>42825</v>
      </c>
      <c r="C56" s="94">
        <v>43190</v>
      </c>
      <c r="D56" s="94">
        <v>43555</v>
      </c>
      <c r="E56" s="94">
        <v>43921</v>
      </c>
      <c r="F56" s="94">
        <v>44286</v>
      </c>
      <c r="G56" s="94">
        <v>44651</v>
      </c>
      <c r="H56" s="94">
        <v>45016</v>
      </c>
      <c r="I56" s="94">
        <v>45382</v>
      </c>
      <c r="J56" s="94">
        <v>45747</v>
      </c>
      <c r="K56" s="94">
        <v>46112</v>
      </c>
    </row>
    <row r="57" spans="1:11" x14ac:dyDescent="0.3">
      <c r="A57" s="96" t="s">
        <v>43</v>
      </c>
      <c r="B57">
        <v>14.45</v>
      </c>
      <c r="C57">
        <v>14.51</v>
      </c>
      <c r="D57">
        <v>14.57</v>
      </c>
      <c r="E57">
        <v>14.81</v>
      </c>
      <c r="F57">
        <v>14.85</v>
      </c>
      <c r="G57">
        <v>14.91</v>
      </c>
      <c r="H57">
        <v>14.79</v>
      </c>
      <c r="I57">
        <v>14.9</v>
      </c>
      <c r="J57">
        <v>59.93</v>
      </c>
      <c r="K57">
        <v>60.19</v>
      </c>
    </row>
    <row r="58" spans="1:11" x14ac:dyDescent="0.3">
      <c r="A58" s="96" t="s">
        <v>44</v>
      </c>
      <c r="B58">
        <v>1771.58</v>
      </c>
      <c r="C58">
        <v>2871.39</v>
      </c>
      <c r="D58">
        <v>3038.87</v>
      </c>
      <c r="E58">
        <v>3071.49</v>
      </c>
      <c r="F58">
        <v>4446.57</v>
      </c>
      <c r="G58">
        <v>5659.46</v>
      </c>
      <c r="H58">
        <v>6237.45</v>
      </c>
      <c r="I58">
        <v>8716.8700000000008</v>
      </c>
      <c r="J58">
        <v>11019.4</v>
      </c>
      <c r="K58">
        <v>12827.93</v>
      </c>
    </row>
    <row r="59" spans="1:11" x14ac:dyDescent="0.3">
      <c r="A59" s="96" t="s">
        <v>45</v>
      </c>
      <c r="B59">
        <v>5066.83</v>
      </c>
      <c r="C59">
        <v>5322.94</v>
      </c>
      <c r="D59">
        <v>5157.7700000000004</v>
      </c>
      <c r="E59">
        <v>4626.93</v>
      </c>
      <c r="F59">
        <v>5693.29</v>
      </c>
      <c r="G59">
        <v>6152.49</v>
      </c>
      <c r="H59">
        <v>10277.620000000001</v>
      </c>
      <c r="I59">
        <v>13787.48</v>
      </c>
      <c r="J59">
        <v>14731.61</v>
      </c>
      <c r="K59">
        <v>21255.11</v>
      </c>
    </row>
    <row r="60" spans="1:11" x14ac:dyDescent="0.3">
      <c r="A60" s="96" t="s">
        <v>46</v>
      </c>
      <c r="B60">
        <v>1586.04</v>
      </c>
      <c r="C60">
        <v>2202.41</v>
      </c>
      <c r="D60">
        <v>2149.06</v>
      </c>
      <c r="E60">
        <v>2370.38</v>
      </c>
      <c r="F60">
        <v>3886.7</v>
      </c>
      <c r="G60">
        <v>5032.95</v>
      </c>
      <c r="H60">
        <v>6419.41</v>
      </c>
      <c r="I60">
        <v>9251.7000000000007</v>
      </c>
      <c r="J60">
        <v>8105.51</v>
      </c>
      <c r="K60">
        <v>9257.56</v>
      </c>
    </row>
    <row r="61" spans="1:11" s="91" customFormat="1" x14ac:dyDescent="0.3">
      <c r="A61" s="91" t="s">
        <v>47</v>
      </c>
      <c r="B61">
        <v>8438.9</v>
      </c>
      <c r="C61">
        <v>10411.25</v>
      </c>
      <c r="D61">
        <v>10360.27</v>
      </c>
      <c r="E61">
        <v>10083.61</v>
      </c>
      <c r="F61">
        <v>14041.41</v>
      </c>
      <c r="G61">
        <v>16859.810000000001</v>
      </c>
      <c r="H61">
        <v>22949.27</v>
      </c>
      <c r="I61">
        <v>31770.95</v>
      </c>
      <c r="J61">
        <v>33916.449999999997</v>
      </c>
      <c r="K61">
        <v>43400.79</v>
      </c>
    </row>
    <row r="62" spans="1:11" x14ac:dyDescent="0.3">
      <c r="A62" s="96" t="s">
        <v>48</v>
      </c>
      <c r="B62">
        <v>293.67</v>
      </c>
      <c r="C62">
        <v>299.57</v>
      </c>
      <c r="D62">
        <v>302.10000000000002</v>
      </c>
      <c r="E62">
        <v>333.35</v>
      </c>
      <c r="F62">
        <v>350.33</v>
      </c>
      <c r="G62">
        <v>356.66</v>
      </c>
      <c r="H62">
        <v>465.81</v>
      </c>
      <c r="I62">
        <v>603.25</v>
      </c>
      <c r="J62">
        <v>753.87</v>
      </c>
      <c r="K62">
        <v>768.67</v>
      </c>
    </row>
    <row r="63" spans="1:11" x14ac:dyDescent="0.3">
      <c r="A63" s="96" t="s">
        <v>49</v>
      </c>
      <c r="C63">
        <v>0.11</v>
      </c>
      <c r="D63">
        <v>0.11</v>
      </c>
      <c r="J63">
        <v>114.63</v>
      </c>
      <c r="K63">
        <v>115.14</v>
      </c>
    </row>
    <row r="64" spans="1:11" x14ac:dyDescent="0.3">
      <c r="A64" s="96" t="s">
        <v>50</v>
      </c>
      <c r="B64">
        <v>1766.9</v>
      </c>
      <c r="C64">
        <v>2807.18</v>
      </c>
      <c r="D64">
        <v>2685.91</v>
      </c>
      <c r="E64">
        <v>3088.5</v>
      </c>
      <c r="F64">
        <v>3922.35</v>
      </c>
      <c r="G64">
        <v>4684.91</v>
      </c>
      <c r="H64">
        <v>4786.96</v>
      </c>
      <c r="I64">
        <v>6500.65</v>
      </c>
      <c r="J64">
        <v>8850.64</v>
      </c>
      <c r="K64">
        <v>10299.18</v>
      </c>
    </row>
    <row r="65" spans="1:11" x14ac:dyDescent="0.3">
      <c r="A65" s="96" t="s">
        <v>51</v>
      </c>
      <c r="B65">
        <v>6378.33</v>
      </c>
      <c r="C65">
        <v>7304.39</v>
      </c>
      <c r="D65">
        <v>7372.15</v>
      </c>
      <c r="E65">
        <v>6661.76</v>
      </c>
      <c r="F65">
        <v>9768.73</v>
      </c>
      <c r="G65">
        <v>11818.24</v>
      </c>
      <c r="H65">
        <v>17696.5</v>
      </c>
      <c r="I65">
        <v>24667.05</v>
      </c>
      <c r="J65">
        <v>24197.31</v>
      </c>
      <c r="K65">
        <v>32217.8</v>
      </c>
    </row>
    <row r="66" spans="1:11" s="91" customFormat="1" x14ac:dyDescent="0.3">
      <c r="A66" s="91" t="s">
        <v>47</v>
      </c>
      <c r="B66">
        <v>8438.9</v>
      </c>
      <c r="C66">
        <v>10411.25</v>
      </c>
      <c r="D66">
        <v>10360.27</v>
      </c>
      <c r="E66">
        <v>10083.61</v>
      </c>
      <c r="F66">
        <v>14041.41</v>
      </c>
      <c r="G66">
        <v>16859.810000000001</v>
      </c>
      <c r="H66">
        <v>22949.27</v>
      </c>
      <c r="I66">
        <v>31770.95</v>
      </c>
      <c r="J66">
        <v>33916.449999999997</v>
      </c>
      <c r="K66">
        <v>43400.79</v>
      </c>
    </row>
    <row r="67" spans="1:11" s="96" customFormat="1" x14ac:dyDescent="0.3">
      <c r="A67" s="96" t="s">
        <v>102</v>
      </c>
      <c r="B67">
        <v>1260.18</v>
      </c>
      <c r="C67">
        <v>1043.3900000000001</v>
      </c>
      <c r="D67">
        <v>1517.33</v>
      </c>
      <c r="E67">
        <v>745.53</v>
      </c>
      <c r="F67">
        <v>911.23</v>
      </c>
      <c r="G67">
        <v>1003.09</v>
      </c>
      <c r="H67">
        <v>1029.0899999999999</v>
      </c>
      <c r="I67">
        <v>1918.12</v>
      </c>
      <c r="J67">
        <v>2403.6</v>
      </c>
      <c r="K67">
        <v>4058.11</v>
      </c>
    </row>
    <row r="68" spans="1:11" x14ac:dyDescent="0.3">
      <c r="A68" s="96" t="s">
        <v>54</v>
      </c>
      <c r="B68">
        <v>0.18</v>
      </c>
    </row>
    <row r="69" spans="1:11" x14ac:dyDescent="0.3">
      <c r="A69" s="92" t="s">
        <v>103</v>
      </c>
      <c r="B69">
        <v>462.52</v>
      </c>
      <c r="C69">
        <v>453.72</v>
      </c>
      <c r="D69">
        <v>689.07</v>
      </c>
      <c r="E69">
        <v>1377.95</v>
      </c>
      <c r="F69">
        <v>3497.78</v>
      </c>
      <c r="G69">
        <v>5315.25</v>
      </c>
      <c r="H69">
        <v>8836.91</v>
      </c>
      <c r="I69">
        <v>12071.31</v>
      </c>
      <c r="J69">
        <v>10497.73</v>
      </c>
      <c r="K69">
        <v>13483.46</v>
      </c>
    </row>
    <row r="70" spans="1:11" x14ac:dyDescent="0.3">
      <c r="A70" s="92" t="s">
        <v>298</v>
      </c>
      <c r="B70">
        <v>144457476</v>
      </c>
      <c r="C70">
        <v>145083558</v>
      </c>
      <c r="D70">
        <v>145680358</v>
      </c>
      <c r="E70">
        <v>148066718</v>
      </c>
      <c r="F70">
        <v>148488819</v>
      </c>
      <c r="G70">
        <v>149062919</v>
      </c>
      <c r="H70">
        <v>147947126</v>
      </c>
      <c r="I70">
        <v>149007291</v>
      </c>
      <c r="J70">
        <v>599313828</v>
      </c>
      <c r="K70">
        <v>601860072</v>
      </c>
    </row>
    <row r="71" spans="1:11" x14ac:dyDescent="0.3">
      <c r="A71" s="92" t="s">
        <v>299</v>
      </c>
    </row>
    <row r="72" spans="1:11" x14ac:dyDescent="0.3">
      <c r="A72" s="92" t="s">
        <v>300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</row>
    <row r="74" spans="1:11" x14ac:dyDescent="0.3">
      <c r="A74" s="96"/>
    </row>
    <row r="75" spans="1:11" x14ac:dyDescent="0.3">
      <c r="A75" s="96"/>
    </row>
    <row r="76" spans="1:11" x14ac:dyDescent="0.3">
      <c r="A76" s="96"/>
    </row>
    <row r="77" spans="1:11" x14ac:dyDescent="0.3">
      <c r="A77" s="96"/>
    </row>
    <row r="78" spans="1:11" x14ac:dyDescent="0.3">
      <c r="A78" s="96"/>
    </row>
    <row r="79" spans="1:11" x14ac:dyDescent="0.3">
      <c r="A79" s="96"/>
    </row>
    <row r="80" spans="1:11" x14ac:dyDescent="0.3">
      <c r="A80" s="91" t="s">
        <v>301</v>
      </c>
    </row>
    <row r="81" spans="1:11" s="95" customFormat="1" x14ac:dyDescent="0.3">
      <c r="A81" s="93" t="s">
        <v>295</v>
      </c>
      <c r="B81" s="94">
        <v>42825</v>
      </c>
      <c r="C81" s="94">
        <v>43190</v>
      </c>
      <c r="D81" s="94">
        <v>43555</v>
      </c>
      <c r="E81" s="94">
        <v>43921</v>
      </c>
      <c r="F81" s="94">
        <v>44286</v>
      </c>
      <c r="G81" s="94">
        <v>44651</v>
      </c>
      <c r="H81" s="94">
        <v>45016</v>
      </c>
      <c r="I81" s="94">
        <v>45382</v>
      </c>
      <c r="J81" s="94">
        <v>45747</v>
      </c>
      <c r="K81" s="94">
        <v>46112</v>
      </c>
    </row>
    <row r="82" spans="1:11" s="91" customFormat="1" x14ac:dyDescent="0.3">
      <c r="A82" s="96" t="s">
        <v>58</v>
      </c>
      <c r="B82">
        <v>-1980.49</v>
      </c>
      <c r="C82">
        <v>247.6</v>
      </c>
      <c r="D82">
        <v>194.72</v>
      </c>
      <c r="E82">
        <v>951.72</v>
      </c>
      <c r="F82">
        <v>-138.68</v>
      </c>
      <c r="G82">
        <v>1010.67</v>
      </c>
      <c r="H82">
        <v>-3057.9</v>
      </c>
      <c r="I82">
        <v>-349.64</v>
      </c>
      <c r="J82">
        <v>1214.73</v>
      </c>
      <c r="K82">
        <v>-6070.7</v>
      </c>
    </row>
    <row r="83" spans="1:11" s="96" customFormat="1" x14ac:dyDescent="0.3">
      <c r="A83" s="96" t="s">
        <v>59</v>
      </c>
      <c r="B83">
        <v>-314.2</v>
      </c>
      <c r="C83">
        <v>-156.69</v>
      </c>
      <c r="D83">
        <v>14.44</v>
      </c>
      <c r="E83">
        <v>-352.56</v>
      </c>
      <c r="F83">
        <v>-273.38</v>
      </c>
      <c r="G83">
        <v>-447.39</v>
      </c>
      <c r="H83">
        <v>-273.72000000000003</v>
      </c>
      <c r="I83">
        <v>-246.79</v>
      </c>
      <c r="J83">
        <v>-1077.28</v>
      </c>
      <c r="K83">
        <v>-958.49</v>
      </c>
    </row>
    <row r="84" spans="1:11" s="96" customFormat="1" x14ac:dyDescent="0.3">
      <c r="A84" s="96" t="s">
        <v>60</v>
      </c>
      <c r="B84">
        <v>2419.9699999999998</v>
      </c>
      <c r="C84">
        <v>-98.03</v>
      </c>
      <c r="D84">
        <v>-141.28</v>
      </c>
      <c r="E84">
        <v>-129.32</v>
      </c>
      <c r="F84">
        <v>860.63</v>
      </c>
      <c r="G84">
        <v>282.18</v>
      </c>
      <c r="H84">
        <v>3770.39</v>
      </c>
      <c r="I84">
        <v>3305.79</v>
      </c>
      <c r="J84">
        <v>745.01</v>
      </c>
      <c r="K84">
        <v>6153.99</v>
      </c>
    </row>
    <row r="85" spans="1:11" s="91" customFormat="1" x14ac:dyDescent="0.3">
      <c r="A85" s="96" t="s">
        <v>61</v>
      </c>
      <c r="B85">
        <v>125.28</v>
      </c>
      <c r="C85">
        <v>-7.12</v>
      </c>
      <c r="D85">
        <v>67.88</v>
      </c>
      <c r="E85">
        <v>469.84</v>
      </c>
      <c r="F85">
        <v>448.57</v>
      </c>
      <c r="G85">
        <v>845.46</v>
      </c>
      <c r="H85">
        <v>438.77</v>
      </c>
      <c r="I85">
        <v>2709.36</v>
      </c>
      <c r="J85">
        <v>882.46</v>
      </c>
      <c r="K85">
        <v>-875.2</v>
      </c>
    </row>
    <row r="86" spans="1:11" x14ac:dyDescent="0.3">
      <c r="A86" s="96"/>
    </row>
    <row r="87" spans="1:11" x14ac:dyDescent="0.3">
      <c r="A87" s="96"/>
    </row>
    <row r="88" spans="1:11" x14ac:dyDescent="0.3">
      <c r="A88" s="96"/>
    </row>
    <row r="89" spans="1:11" x14ac:dyDescent="0.3">
      <c r="A89" s="96"/>
    </row>
    <row r="90" spans="1:11" s="91" customFormat="1" x14ac:dyDescent="0.3">
      <c r="A90" s="91" t="s">
        <v>302</v>
      </c>
      <c r="B90">
        <v>181.6</v>
      </c>
      <c r="C90">
        <v>250.59</v>
      </c>
      <c r="D90">
        <v>150.53</v>
      </c>
      <c r="E90">
        <v>124.26</v>
      </c>
      <c r="F90">
        <v>156.19999999999999</v>
      </c>
      <c r="G90">
        <v>217.49</v>
      </c>
      <c r="H90">
        <v>152.58000000000001</v>
      </c>
      <c r="I90">
        <v>416.69</v>
      </c>
      <c r="J90">
        <v>615.35</v>
      </c>
      <c r="K90">
        <v>632.75</v>
      </c>
    </row>
    <row r="92" spans="1:11" s="91" customFormat="1" x14ac:dyDescent="0.3">
      <c r="A92" s="91" t="s">
        <v>303</v>
      </c>
    </row>
    <row r="93" spans="1:11" x14ac:dyDescent="0.3">
      <c r="A93" s="92" t="s">
        <v>304</v>
      </c>
      <c r="B93" s="92">
        <v>57.78</v>
      </c>
      <c r="C93" s="92">
        <v>58.03</v>
      </c>
      <c r="D93" s="92">
        <v>58.27</v>
      </c>
      <c r="E93" s="92">
        <v>59.23</v>
      </c>
      <c r="F93" s="92">
        <v>58.65</v>
      </c>
      <c r="G93" s="92">
        <v>59.63</v>
      </c>
      <c r="H93" s="92">
        <v>59.18</v>
      </c>
      <c r="I93" s="92">
        <v>59.6</v>
      </c>
      <c r="J93" s="92">
        <v>59.93</v>
      </c>
      <c r="K93" s="92">
        <v>60.19</v>
      </c>
    </row>
  </sheetData>
  <mergeCells count="2">
    <mergeCell ref="E2:K2"/>
    <mergeCell ref="E1:K1"/>
  </mergeCells>
  <conditionalFormatting sqref="E1:K1">
    <cfRule type="cellIs" dxfId="0" priority="1" operator="notEqual">
      <formula>""</formula>
    </cfRule>
  </conditionalFormatting>
  <hyperlinks>
    <hyperlink ref="E1" r:id="rId1" display="https://www.screener.in/excel/" xr:uid="{00000000-0004-0000-0B00-000000000000}"/>
  </hyperlink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Intro</vt:lpstr>
      <vt:lpstr>Dashboard</vt:lpstr>
      <vt:lpstr>Profit &amp; Loss</vt:lpstr>
      <vt:lpstr>Quarters</vt:lpstr>
      <vt:lpstr>Balance Sheet</vt:lpstr>
      <vt:lpstr>Cash Flow</vt:lpstr>
      <vt:lpstr>Customization</vt:lpstr>
      <vt:lpstr>3Statement Model</vt:lpstr>
      <vt:lpstr>Ratio Analysis</vt:lpstr>
      <vt:lpstr>DCF</vt:lpstr>
      <vt:lpstr>Common Size Statement</vt:lpstr>
      <vt:lpstr>Comp Analysis</vt:lpstr>
      <vt:lpstr>Data</vt:lpstr>
      <vt:lpstr>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navneet yadav</dc:creator>
  <cp:lastModifiedBy>navneet yadav</cp:lastModifiedBy>
  <cp:revision>2</cp:revision>
  <cp:lastPrinted>2012-12-06T18:14:13Z</cp:lastPrinted>
  <dcterms:created xsi:type="dcterms:W3CDTF">2012-08-17T09:55:37Z</dcterms:created>
  <dcterms:modified xsi:type="dcterms:W3CDTF">2026-07-24T05:27:56Z</dcterms:modified>
  <dc:language>en-US</dc:language>
</cp:coreProperties>
</file>