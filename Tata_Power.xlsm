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Navneet\Downloads\"/>
    </mc:Choice>
  </mc:AlternateContent>
  <xr:revisionPtr revIDLastSave="0" documentId="13_ncr:1_{86F176D3-DCDF-433A-85C4-FE3E92F58097}" xr6:coauthVersionLast="47" xr6:coauthVersionMax="47" xr10:uidLastSave="{00000000-0000-0000-0000-000000000000}"/>
  <bookViews>
    <workbookView xWindow="-108" yWindow="-108" windowWidth="23256" windowHeight="12456" tabRatio="500" firstSheet="8" activeTab="11" xr2:uid="{00000000-000D-0000-FFFF-FFFF00000000}"/>
  </bookViews>
  <sheets>
    <sheet name="Dashboard" sheetId="1" r:id="rId1"/>
    <sheet name="Profit &amp; Loss" sheetId="2" state="hidden" r:id="rId2"/>
    <sheet name="Quarters" sheetId="3" state="hidden" r:id="rId3"/>
    <sheet name="Balance Sheet" sheetId="4" state="hidden" r:id="rId4"/>
    <sheet name="Cash Flow" sheetId="5" state="hidden" r:id="rId5"/>
    <sheet name="Customization" sheetId="6" state="hidden" r:id="rId6"/>
    <sheet name="Historical data" sheetId="7" r:id="rId7"/>
    <sheet name="Ratio Analysis" sheetId="8" r:id="rId8"/>
    <sheet name="DCF Modelling" sheetId="9" r:id="rId9"/>
    <sheet name="Common Size Statement" sheetId="10" r:id="rId10"/>
    <sheet name="Comp Analysis" sheetId="11" r:id="rId11"/>
    <sheet name="Data" sheetId="13" r:id="rId12"/>
  </sheets>
  <definedNames>
    <definedName name="UPDATE">Data!$E$1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6" i="13" l="1"/>
  <c r="E1" i="13"/>
  <c r="Q21" i="11"/>
  <c r="P21" i="11"/>
  <c r="O21" i="11"/>
  <c r="H8" i="11"/>
  <c r="P8" i="11" s="1"/>
  <c r="F8" i="11"/>
  <c r="Q8" i="11" s="1"/>
  <c r="H7" i="11"/>
  <c r="O7" i="11" s="1"/>
  <c r="F7" i="11"/>
  <c r="Q7" i="11" s="1"/>
  <c r="Q6" i="11"/>
  <c r="H6" i="11"/>
  <c r="P6" i="11" s="1"/>
  <c r="F6" i="11"/>
  <c r="J5" i="11"/>
  <c r="F5" i="11"/>
  <c r="B5" i="11"/>
  <c r="B17" i="11" s="1"/>
  <c r="B2" i="11"/>
  <c r="L40" i="10"/>
  <c r="K40" i="10"/>
  <c r="J40" i="10"/>
  <c r="I40" i="10"/>
  <c r="H40" i="10"/>
  <c r="G40" i="10"/>
  <c r="F40" i="10"/>
  <c r="E40" i="10"/>
  <c r="D40" i="10"/>
  <c r="C40" i="10"/>
  <c r="B40" i="10"/>
  <c r="L38" i="10"/>
  <c r="K38" i="10"/>
  <c r="J38" i="10"/>
  <c r="I38" i="10"/>
  <c r="H38" i="10"/>
  <c r="G38" i="10"/>
  <c r="F38" i="10"/>
  <c r="E38" i="10"/>
  <c r="D38" i="10"/>
  <c r="C38" i="10"/>
  <c r="B38" i="10"/>
  <c r="L37" i="10"/>
  <c r="K37" i="10"/>
  <c r="J37" i="10"/>
  <c r="I37" i="10"/>
  <c r="H37" i="10"/>
  <c r="G37" i="10"/>
  <c r="F37" i="10"/>
  <c r="E37" i="10"/>
  <c r="D37" i="10"/>
  <c r="C37" i="10"/>
  <c r="B37" i="10"/>
  <c r="L36" i="10"/>
  <c r="K36" i="10"/>
  <c r="J36" i="10"/>
  <c r="I36" i="10"/>
  <c r="H36" i="10"/>
  <c r="G36" i="10"/>
  <c r="F36" i="10"/>
  <c r="E36" i="10"/>
  <c r="D36" i="10"/>
  <c r="C36" i="10"/>
  <c r="B36" i="10"/>
  <c r="L35" i="10"/>
  <c r="K35" i="10"/>
  <c r="J35" i="10"/>
  <c r="I35" i="10"/>
  <c r="H35" i="10"/>
  <c r="G35" i="10"/>
  <c r="F35" i="10"/>
  <c r="E35" i="10"/>
  <c r="D35" i="10"/>
  <c r="C35" i="10"/>
  <c r="B35" i="10"/>
  <c r="L34" i="10"/>
  <c r="K34" i="10"/>
  <c r="J34" i="10"/>
  <c r="I34" i="10"/>
  <c r="H34" i="10"/>
  <c r="G34" i="10"/>
  <c r="F34" i="10"/>
  <c r="E34" i="10"/>
  <c r="D34" i="10"/>
  <c r="C34" i="10"/>
  <c r="B34" i="10"/>
  <c r="L33" i="10"/>
  <c r="K33" i="10"/>
  <c r="J33" i="10"/>
  <c r="I33" i="10"/>
  <c r="H33" i="10"/>
  <c r="G33" i="10"/>
  <c r="F33" i="10"/>
  <c r="E33" i="10"/>
  <c r="D33" i="10"/>
  <c r="C33" i="10"/>
  <c r="B33" i="10"/>
  <c r="L32" i="10"/>
  <c r="K32" i="10"/>
  <c r="J32" i="10"/>
  <c r="I32" i="10"/>
  <c r="H32" i="10"/>
  <c r="G32" i="10"/>
  <c r="F32" i="10"/>
  <c r="E32" i="10"/>
  <c r="D32" i="10"/>
  <c r="C32" i="10"/>
  <c r="B32" i="10"/>
  <c r="L30" i="10"/>
  <c r="K30" i="10"/>
  <c r="J30" i="10"/>
  <c r="I30" i="10"/>
  <c r="H30" i="10"/>
  <c r="G30" i="10"/>
  <c r="F30" i="10"/>
  <c r="E30" i="10"/>
  <c r="D30" i="10"/>
  <c r="C30" i="10"/>
  <c r="B30" i="10"/>
  <c r="L28" i="10"/>
  <c r="K28" i="10"/>
  <c r="J28" i="10"/>
  <c r="I28" i="10"/>
  <c r="H28" i="10"/>
  <c r="G28" i="10"/>
  <c r="F28" i="10"/>
  <c r="E28" i="10"/>
  <c r="D28" i="10"/>
  <c r="C28" i="10"/>
  <c r="B28" i="10"/>
  <c r="L27" i="10"/>
  <c r="K27" i="10"/>
  <c r="J27" i="10"/>
  <c r="I27" i="10"/>
  <c r="H27" i="10"/>
  <c r="G27" i="10"/>
  <c r="F27" i="10"/>
  <c r="E27" i="10"/>
  <c r="D27" i="10"/>
  <c r="C27" i="10"/>
  <c r="B27" i="10"/>
  <c r="L26" i="10"/>
  <c r="K26" i="10"/>
  <c r="J26" i="10"/>
  <c r="I26" i="10"/>
  <c r="H26" i="10"/>
  <c r="G26" i="10"/>
  <c r="F26" i="10"/>
  <c r="E26" i="10"/>
  <c r="D26" i="10"/>
  <c r="C26" i="10"/>
  <c r="B26" i="10"/>
  <c r="L25" i="10"/>
  <c r="K25" i="10"/>
  <c r="J25" i="10"/>
  <c r="I25" i="10"/>
  <c r="H25" i="10"/>
  <c r="G25" i="10"/>
  <c r="F25" i="10"/>
  <c r="E25" i="10"/>
  <c r="D25" i="10"/>
  <c r="C25" i="10"/>
  <c r="B25" i="10"/>
  <c r="B22" i="10"/>
  <c r="L20" i="10"/>
  <c r="K20" i="10"/>
  <c r="J20" i="10"/>
  <c r="I20" i="10"/>
  <c r="H20" i="10"/>
  <c r="G20" i="10"/>
  <c r="F20" i="10"/>
  <c r="E20" i="10"/>
  <c r="D20" i="10"/>
  <c r="C20" i="10"/>
  <c r="L19" i="10"/>
  <c r="K19" i="10"/>
  <c r="J19" i="10"/>
  <c r="I19" i="10"/>
  <c r="H19" i="10"/>
  <c r="G19" i="10"/>
  <c r="F19" i="10"/>
  <c r="E19" i="10"/>
  <c r="D19" i="10"/>
  <c r="C19" i="10"/>
  <c r="L18" i="10"/>
  <c r="K18" i="10"/>
  <c r="J18" i="10"/>
  <c r="I18" i="10"/>
  <c r="H18" i="10"/>
  <c r="G18" i="10"/>
  <c r="F18" i="10"/>
  <c r="E18" i="10"/>
  <c r="D18" i="10"/>
  <c r="C18" i="10"/>
  <c r="L17" i="10"/>
  <c r="K17" i="10"/>
  <c r="J17" i="10"/>
  <c r="I17" i="10"/>
  <c r="H17" i="10"/>
  <c r="G17" i="10"/>
  <c r="F17" i="10"/>
  <c r="E17" i="10"/>
  <c r="D17" i="10"/>
  <c r="C17" i="10"/>
  <c r="L16" i="10"/>
  <c r="K16" i="10"/>
  <c r="J16" i="10"/>
  <c r="I16" i="10"/>
  <c r="H16" i="10"/>
  <c r="G16" i="10"/>
  <c r="F16" i="10"/>
  <c r="E16" i="10"/>
  <c r="D16" i="10"/>
  <c r="C16" i="10"/>
  <c r="L15" i="10"/>
  <c r="K15" i="10"/>
  <c r="J15" i="10"/>
  <c r="I15" i="10"/>
  <c r="H15" i="10"/>
  <c r="G15" i="10"/>
  <c r="F15" i="10"/>
  <c r="E15" i="10"/>
  <c r="D15" i="10"/>
  <c r="C15" i="10"/>
  <c r="L14" i="10"/>
  <c r="K14" i="10"/>
  <c r="J14" i="10"/>
  <c r="I14" i="10"/>
  <c r="H14" i="10"/>
  <c r="G14" i="10"/>
  <c r="F14" i="10"/>
  <c r="E14" i="10"/>
  <c r="D14" i="10"/>
  <c r="C14" i="10"/>
  <c r="L13" i="10"/>
  <c r="K13" i="10"/>
  <c r="J13" i="10"/>
  <c r="I13" i="10"/>
  <c r="H13" i="10"/>
  <c r="G13" i="10"/>
  <c r="F13" i="10"/>
  <c r="E13" i="10"/>
  <c r="D13" i="10"/>
  <c r="C13" i="10"/>
  <c r="L12" i="10"/>
  <c r="K12" i="10"/>
  <c r="J12" i="10"/>
  <c r="I12" i="10"/>
  <c r="H12" i="10"/>
  <c r="G12" i="10"/>
  <c r="F12" i="10"/>
  <c r="E12" i="10"/>
  <c r="D12" i="10"/>
  <c r="C12" i="10"/>
  <c r="L11" i="10"/>
  <c r="K11" i="10"/>
  <c r="J11" i="10"/>
  <c r="I11" i="10"/>
  <c r="H11" i="10"/>
  <c r="G11" i="10"/>
  <c r="F11" i="10"/>
  <c r="E11" i="10"/>
  <c r="D11" i="10"/>
  <c r="C11" i="10"/>
  <c r="L10" i="10"/>
  <c r="K10" i="10"/>
  <c r="J10" i="10"/>
  <c r="I10" i="10"/>
  <c r="H10" i="10"/>
  <c r="G10" i="10"/>
  <c r="F10" i="10"/>
  <c r="E10" i="10"/>
  <c r="D10" i="10"/>
  <c r="C10" i="10"/>
  <c r="L9" i="10"/>
  <c r="K9" i="10"/>
  <c r="J9" i="10"/>
  <c r="I9" i="10"/>
  <c r="H9" i="10"/>
  <c r="G9" i="10"/>
  <c r="F9" i="10"/>
  <c r="E9" i="10"/>
  <c r="D9" i="10"/>
  <c r="C9" i="10"/>
  <c r="L8" i="10"/>
  <c r="K8" i="10"/>
  <c r="J8" i="10"/>
  <c r="I8" i="10"/>
  <c r="H8" i="10"/>
  <c r="G8" i="10"/>
  <c r="F8" i="10"/>
  <c r="E8" i="10"/>
  <c r="D8" i="10"/>
  <c r="C8" i="10"/>
  <c r="L7" i="10"/>
  <c r="K7" i="10"/>
  <c r="J7" i="10"/>
  <c r="I7" i="10"/>
  <c r="H7" i="10"/>
  <c r="G7" i="10"/>
  <c r="F7" i="10"/>
  <c r="E7" i="10"/>
  <c r="D7" i="10"/>
  <c r="C7" i="10"/>
  <c r="L6" i="10"/>
  <c r="K6" i="10"/>
  <c r="J6" i="10"/>
  <c r="I6" i="10"/>
  <c r="H6" i="10"/>
  <c r="G6" i="10"/>
  <c r="F6" i="10"/>
  <c r="E6" i="10"/>
  <c r="D6" i="10"/>
  <c r="C6" i="10"/>
  <c r="L5" i="10"/>
  <c r="K5" i="10"/>
  <c r="J5" i="10"/>
  <c r="I5" i="10"/>
  <c r="H5" i="10"/>
  <c r="G5" i="10"/>
  <c r="F5" i="10"/>
  <c r="E5" i="10"/>
  <c r="D5" i="10"/>
  <c r="C5" i="10"/>
  <c r="L4" i="10"/>
  <c r="K4" i="10"/>
  <c r="J4" i="10"/>
  <c r="I4" i="10"/>
  <c r="H4" i="10"/>
  <c r="G4" i="10"/>
  <c r="F4" i="10"/>
  <c r="E4" i="10"/>
  <c r="D4" i="10"/>
  <c r="C4" i="10"/>
  <c r="L3" i="10"/>
  <c r="K3" i="10"/>
  <c r="J3" i="10"/>
  <c r="I3" i="10"/>
  <c r="H3" i="10"/>
  <c r="G3" i="10"/>
  <c r="F3" i="10"/>
  <c r="E3" i="10"/>
  <c r="D3" i="10"/>
  <c r="C3" i="10"/>
  <c r="B2" i="10"/>
  <c r="C39" i="9"/>
  <c r="F25" i="9"/>
  <c r="J31" i="9" s="1"/>
  <c r="C15" i="9"/>
  <c r="C14" i="9"/>
  <c r="C13" i="9"/>
  <c r="O9" i="9"/>
  <c r="G9" i="9"/>
  <c r="O8" i="9"/>
  <c r="N8" i="9"/>
  <c r="M8" i="9"/>
  <c r="L8" i="9"/>
  <c r="K8" i="9"/>
  <c r="J8" i="9"/>
  <c r="I8" i="9"/>
  <c r="H8" i="9"/>
  <c r="G8" i="9"/>
  <c r="F8" i="9"/>
  <c r="C7" i="9"/>
  <c r="E2" i="9"/>
  <c r="J100" i="7"/>
  <c r="G100" i="7"/>
  <c r="E100" i="7"/>
  <c r="L98" i="7"/>
  <c r="K98" i="7"/>
  <c r="K100" i="7" s="1"/>
  <c r="J98" i="7"/>
  <c r="I98" i="7"/>
  <c r="I100" i="7" s="1"/>
  <c r="H98" i="7"/>
  <c r="H100" i="7" s="1"/>
  <c r="G98" i="7"/>
  <c r="F98" i="7"/>
  <c r="F100" i="7" s="1"/>
  <c r="E98" i="7"/>
  <c r="D98" i="7"/>
  <c r="C98" i="7"/>
  <c r="C100" i="7" s="1"/>
  <c r="L88" i="7"/>
  <c r="K88" i="7"/>
  <c r="J88" i="7"/>
  <c r="I88" i="7"/>
  <c r="H88" i="7"/>
  <c r="G88" i="7"/>
  <c r="F88" i="7"/>
  <c r="E88" i="7"/>
  <c r="D88" i="7"/>
  <c r="C88" i="7"/>
  <c r="L74" i="7"/>
  <c r="K74" i="7"/>
  <c r="J74" i="7"/>
  <c r="I74" i="7"/>
  <c r="H74" i="7"/>
  <c r="G74" i="7"/>
  <c r="F74" i="7"/>
  <c r="E74" i="7"/>
  <c r="D74" i="7"/>
  <c r="C74" i="7"/>
  <c r="I56" i="7"/>
  <c r="I28" i="8" s="1"/>
  <c r="L55" i="7"/>
  <c r="K55" i="7"/>
  <c r="J55" i="7"/>
  <c r="I55" i="7"/>
  <c r="H55" i="7"/>
  <c r="G55" i="7"/>
  <c r="F55" i="7"/>
  <c r="E55" i="7"/>
  <c r="E29" i="8" s="1"/>
  <c r="D55" i="7"/>
  <c r="C55" i="7"/>
  <c r="L54" i="7"/>
  <c r="K54" i="7"/>
  <c r="J54" i="7"/>
  <c r="I54" i="7"/>
  <c r="L9" i="9" s="1"/>
  <c r="H54" i="7"/>
  <c r="G54" i="7"/>
  <c r="G56" i="7" s="1"/>
  <c r="G27" i="8" s="1"/>
  <c r="F54" i="7"/>
  <c r="E54" i="7"/>
  <c r="D54" i="7"/>
  <c r="C54" i="7"/>
  <c r="L53" i="7"/>
  <c r="L56" i="7" s="1"/>
  <c r="K53" i="7"/>
  <c r="J53" i="7"/>
  <c r="M9" i="9" s="1"/>
  <c r="I53" i="7"/>
  <c r="H53" i="7"/>
  <c r="K9" i="9" s="1"/>
  <c r="G53" i="7"/>
  <c r="F53" i="7"/>
  <c r="E53" i="7"/>
  <c r="D53" i="7"/>
  <c r="D56" i="7" s="1"/>
  <c r="C53" i="7"/>
  <c r="L51" i="7"/>
  <c r="K51" i="7"/>
  <c r="J51" i="7"/>
  <c r="I51" i="7"/>
  <c r="H51" i="7"/>
  <c r="G51" i="7"/>
  <c r="F51" i="7"/>
  <c r="E51" i="7"/>
  <c r="D51" i="7"/>
  <c r="C51" i="7"/>
  <c r="L50" i="7"/>
  <c r="K50" i="7"/>
  <c r="J50" i="7"/>
  <c r="I50" i="7"/>
  <c r="H50" i="7"/>
  <c r="G50" i="7"/>
  <c r="F50" i="7"/>
  <c r="E50" i="7"/>
  <c r="E52" i="7" s="1"/>
  <c r="D50" i="7"/>
  <c r="C50" i="7"/>
  <c r="L49" i="7"/>
  <c r="K49" i="7"/>
  <c r="J49" i="7"/>
  <c r="J52" i="7" s="1"/>
  <c r="I49" i="7"/>
  <c r="H49" i="7"/>
  <c r="G49" i="7"/>
  <c r="G52" i="7" s="1"/>
  <c r="F49" i="7"/>
  <c r="E49" i="7"/>
  <c r="D49" i="7"/>
  <c r="C49" i="7"/>
  <c r="N48" i="7"/>
  <c r="L48" i="7"/>
  <c r="K48" i="7"/>
  <c r="J48" i="7"/>
  <c r="I48" i="7"/>
  <c r="H48" i="7"/>
  <c r="G48" i="7"/>
  <c r="F48" i="7"/>
  <c r="F52" i="7" s="1"/>
  <c r="E48" i="7"/>
  <c r="D48" i="7"/>
  <c r="C48" i="7"/>
  <c r="L46" i="7"/>
  <c r="K46" i="7"/>
  <c r="J46" i="7"/>
  <c r="I46" i="7"/>
  <c r="H46" i="7"/>
  <c r="G46" i="7"/>
  <c r="F46" i="7"/>
  <c r="E46" i="7"/>
  <c r="D46" i="7"/>
  <c r="C46" i="7"/>
  <c r="L44" i="7"/>
  <c r="K44" i="7"/>
  <c r="J44" i="7"/>
  <c r="I44" i="7"/>
  <c r="H44" i="7"/>
  <c r="G44" i="7"/>
  <c r="F44" i="7"/>
  <c r="E44" i="7"/>
  <c r="D44" i="7"/>
  <c r="C44" i="7"/>
  <c r="M42" i="7"/>
  <c r="M41" i="7"/>
  <c r="L38" i="7"/>
  <c r="K38" i="7"/>
  <c r="J38" i="7"/>
  <c r="J14" i="8" s="1"/>
  <c r="I38" i="7"/>
  <c r="H38" i="7"/>
  <c r="G38" i="7"/>
  <c r="G14" i="8" s="1"/>
  <c r="F38" i="7"/>
  <c r="E38" i="7"/>
  <c r="D38" i="7"/>
  <c r="C38" i="7"/>
  <c r="L37" i="7"/>
  <c r="K37" i="7"/>
  <c r="K34" i="8" s="1" a="1"/>
  <c r="J37" i="7"/>
  <c r="I37" i="7"/>
  <c r="H37" i="7"/>
  <c r="G37" i="7"/>
  <c r="F37" i="7"/>
  <c r="E37" i="7"/>
  <c r="D37" i="7"/>
  <c r="C37" i="7"/>
  <c r="C14" i="8" s="1"/>
  <c r="L36" i="7"/>
  <c r="K36" i="7"/>
  <c r="J36" i="7"/>
  <c r="I36" i="7"/>
  <c r="H36" i="7"/>
  <c r="G36" i="7"/>
  <c r="F36" i="7"/>
  <c r="E36" i="7"/>
  <c r="D36" i="7"/>
  <c r="C36" i="7"/>
  <c r="L30" i="7"/>
  <c r="K30" i="7"/>
  <c r="J30" i="7"/>
  <c r="I30" i="7"/>
  <c r="H30" i="7"/>
  <c r="G30" i="7"/>
  <c r="F30" i="7"/>
  <c r="E30" i="7"/>
  <c r="D30" i="7"/>
  <c r="C30" i="7"/>
  <c r="L25" i="7"/>
  <c r="K25" i="7"/>
  <c r="J25" i="7"/>
  <c r="I25" i="7"/>
  <c r="H25" i="7"/>
  <c r="G25" i="7"/>
  <c r="F25" i="7"/>
  <c r="E25" i="7"/>
  <c r="D25" i="7"/>
  <c r="C25" i="7"/>
  <c r="N20" i="7"/>
  <c r="L20" i="7"/>
  <c r="O6" i="9" s="1"/>
  <c r="K20" i="7"/>
  <c r="N6" i="9" s="1"/>
  <c r="J20" i="7"/>
  <c r="M6" i="9" s="1"/>
  <c r="I20" i="7"/>
  <c r="L6" i="9" s="1"/>
  <c r="H20" i="7"/>
  <c r="K6" i="9" s="1"/>
  <c r="G20" i="7"/>
  <c r="J6" i="9" s="1"/>
  <c r="F20" i="7"/>
  <c r="I6" i="9" s="1"/>
  <c r="E20" i="7"/>
  <c r="H6" i="9" s="1"/>
  <c r="D20" i="7"/>
  <c r="G6" i="9" s="1"/>
  <c r="C20" i="7"/>
  <c r="F6" i="9" s="1"/>
  <c r="L15" i="7"/>
  <c r="K15" i="7"/>
  <c r="J15" i="7"/>
  <c r="I15" i="7"/>
  <c r="H15" i="7"/>
  <c r="G15" i="7"/>
  <c r="F15" i="7"/>
  <c r="N15" i="7" s="1"/>
  <c r="E15" i="7"/>
  <c r="D15" i="7"/>
  <c r="C15" i="7"/>
  <c r="J12" i="7"/>
  <c r="L10" i="7"/>
  <c r="K10" i="7"/>
  <c r="J10" i="7"/>
  <c r="J22" i="8" s="1"/>
  <c r="J40" i="8" s="1"/>
  <c r="I10" i="7"/>
  <c r="H10" i="7"/>
  <c r="G10" i="7"/>
  <c r="F10" i="7"/>
  <c r="E10" i="7"/>
  <c r="D10" i="7"/>
  <c r="C10" i="7"/>
  <c r="J8" i="7"/>
  <c r="I8" i="7"/>
  <c r="L7" i="7"/>
  <c r="L12" i="7" s="1"/>
  <c r="K7" i="7"/>
  <c r="K8" i="7" s="1"/>
  <c r="J7" i="7"/>
  <c r="I7" i="7"/>
  <c r="I12" i="7" s="1"/>
  <c r="H7" i="7"/>
  <c r="G7" i="7"/>
  <c r="G12" i="7" s="1"/>
  <c r="F7" i="7"/>
  <c r="F12" i="7" s="1"/>
  <c r="E7" i="7"/>
  <c r="D7" i="7"/>
  <c r="M7" i="7" s="1"/>
  <c r="C7" i="7"/>
  <c r="C12" i="7" s="1"/>
  <c r="N3" i="7"/>
  <c r="N88" i="7" s="1"/>
  <c r="M3" i="7"/>
  <c r="L3" i="7"/>
  <c r="K3" i="7"/>
  <c r="J3" i="7"/>
  <c r="I3" i="7"/>
  <c r="H3" i="7"/>
  <c r="G3" i="7"/>
  <c r="F3" i="7"/>
  <c r="E3" i="7"/>
  <c r="D3" i="7"/>
  <c r="C3" i="7"/>
  <c r="N66" i="7" s="1"/>
  <c r="B2" i="7"/>
  <c r="K7" i="5"/>
  <c r="J7" i="5"/>
  <c r="I7" i="5"/>
  <c r="H7" i="5"/>
  <c r="G7" i="5"/>
  <c r="F7" i="5"/>
  <c r="E7" i="5"/>
  <c r="D7" i="5"/>
  <c r="C7" i="5"/>
  <c r="B7" i="5"/>
  <c r="K6" i="5"/>
  <c r="J6" i="5"/>
  <c r="I6" i="5"/>
  <c r="H6" i="5"/>
  <c r="G6" i="5"/>
  <c r="F6" i="5"/>
  <c r="E6" i="5"/>
  <c r="D6" i="5"/>
  <c r="C6" i="5"/>
  <c r="B6" i="5"/>
  <c r="K5" i="5"/>
  <c r="J5" i="5"/>
  <c r="I5" i="5"/>
  <c r="H5" i="5"/>
  <c r="G5" i="5"/>
  <c r="F5" i="5"/>
  <c r="E5" i="5"/>
  <c r="D5" i="5"/>
  <c r="C5" i="5"/>
  <c r="B5" i="5"/>
  <c r="K4" i="5"/>
  <c r="J4" i="5"/>
  <c r="I4" i="5"/>
  <c r="H4" i="5"/>
  <c r="G4" i="5"/>
  <c r="F4" i="5"/>
  <c r="E4" i="5"/>
  <c r="D4" i="5"/>
  <c r="C4" i="5"/>
  <c r="B4" i="5"/>
  <c r="K3" i="5"/>
  <c r="J3" i="5"/>
  <c r="I3" i="5"/>
  <c r="H3" i="5"/>
  <c r="G3" i="5"/>
  <c r="F3" i="5"/>
  <c r="E3" i="5"/>
  <c r="D3" i="5"/>
  <c r="C3" i="5"/>
  <c r="B3" i="5"/>
  <c r="E1" i="5"/>
  <c r="J24" i="4"/>
  <c r="J23" i="4"/>
  <c r="E21" i="4"/>
  <c r="D21" i="4"/>
  <c r="G20" i="4"/>
  <c r="F20" i="4"/>
  <c r="K18" i="4"/>
  <c r="J18" i="4"/>
  <c r="I18" i="4"/>
  <c r="I21" i="4" s="1"/>
  <c r="H18" i="4"/>
  <c r="G18" i="4"/>
  <c r="F18" i="4"/>
  <c r="F21" i="4" s="1"/>
  <c r="E18" i="4"/>
  <c r="D18" i="4"/>
  <c r="C18" i="4"/>
  <c r="B18" i="4"/>
  <c r="K17" i="4"/>
  <c r="J17" i="4"/>
  <c r="I17" i="4"/>
  <c r="H17" i="4"/>
  <c r="G17" i="4"/>
  <c r="F17" i="4"/>
  <c r="E17" i="4"/>
  <c r="E20" i="4" s="1"/>
  <c r="D17" i="4"/>
  <c r="C17" i="4"/>
  <c r="B17" i="4"/>
  <c r="G16" i="4"/>
  <c r="E16" i="4"/>
  <c r="D16" i="4"/>
  <c r="K14" i="4"/>
  <c r="J14" i="4"/>
  <c r="I14" i="4"/>
  <c r="H14" i="4"/>
  <c r="G14" i="4"/>
  <c r="F14" i="4"/>
  <c r="E14" i="4"/>
  <c r="D14" i="4"/>
  <c r="C14" i="4"/>
  <c r="B14" i="4"/>
  <c r="K13" i="4"/>
  <c r="J13" i="4"/>
  <c r="J16" i="4" s="1"/>
  <c r="I13" i="4"/>
  <c r="I16" i="4" s="1"/>
  <c r="H13" i="4"/>
  <c r="H16" i="4" s="1"/>
  <c r="G13" i="4"/>
  <c r="F13" i="4"/>
  <c r="F16" i="4" s="1"/>
  <c r="E13" i="4"/>
  <c r="D13" i="4"/>
  <c r="C13" i="4"/>
  <c r="B13" i="4"/>
  <c r="B16" i="4" s="1"/>
  <c r="K12" i="4"/>
  <c r="J12" i="4"/>
  <c r="I12" i="4"/>
  <c r="H12" i="4"/>
  <c r="G12" i="4"/>
  <c r="F12" i="4"/>
  <c r="E12" i="4"/>
  <c r="D12" i="4"/>
  <c r="C12" i="4"/>
  <c r="B12" i="4"/>
  <c r="K11" i="4"/>
  <c r="J11" i="4"/>
  <c r="I11" i="4"/>
  <c r="H11" i="4"/>
  <c r="G11" i="4"/>
  <c r="F11" i="4"/>
  <c r="E11" i="4"/>
  <c r="D11" i="4"/>
  <c r="C11" i="4"/>
  <c r="B11" i="4"/>
  <c r="K10" i="4"/>
  <c r="J10" i="4"/>
  <c r="I10" i="4"/>
  <c r="H10" i="4"/>
  <c r="G10" i="4"/>
  <c r="F10" i="4"/>
  <c r="E10" i="4"/>
  <c r="D10" i="4"/>
  <c r="C10" i="4"/>
  <c r="B10" i="4"/>
  <c r="K8" i="4"/>
  <c r="J8" i="4"/>
  <c r="I8" i="4"/>
  <c r="H8" i="4"/>
  <c r="G8" i="4"/>
  <c r="F8" i="4"/>
  <c r="E8" i="4"/>
  <c r="D8" i="4"/>
  <c r="C8" i="4"/>
  <c r="B8" i="4"/>
  <c r="K7" i="4"/>
  <c r="J7" i="4"/>
  <c r="I7" i="4"/>
  <c r="H7" i="4"/>
  <c r="G7" i="4"/>
  <c r="F7" i="4"/>
  <c r="E7" i="4"/>
  <c r="D7" i="4"/>
  <c r="C7" i="4"/>
  <c r="B7" i="4"/>
  <c r="K6" i="4"/>
  <c r="J6" i="4"/>
  <c r="I6" i="4"/>
  <c r="H6" i="4"/>
  <c r="G6" i="4"/>
  <c r="F6" i="4"/>
  <c r="E6" i="4"/>
  <c r="D6" i="4"/>
  <c r="D24" i="4" s="1"/>
  <c r="C6" i="4"/>
  <c r="B6" i="4"/>
  <c r="K5" i="4"/>
  <c r="J5" i="4"/>
  <c r="I5" i="4"/>
  <c r="H5" i="4"/>
  <c r="G5" i="4"/>
  <c r="F5" i="4"/>
  <c r="F23" i="4" s="1"/>
  <c r="E5" i="4"/>
  <c r="D5" i="4"/>
  <c r="C5" i="4"/>
  <c r="B5" i="4"/>
  <c r="K4" i="4"/>
  <c r="J4" i="4"/>
  <c r="K24" i="4" s="1"/>
  <c r="I4" i="4"/>
  <c r="H4" i="4"/>
  <c r="H23" i="4" s="1"/>
  <c r="G4" i="4"/>
  <c r="F4" i="4"/>
  <c r="G24" i="4" s="1"/>
  <c r="E4" i="4"/>
  <c r="D4" i="4"/>
  <c r="C4" i="4"/>
  <c r="B4" i="4"/>
  <c r="C24" i="4" s="1"/>
  <c r="K3" i="4"/>
  <c r="J3" i="4"/>
  <c r="I3" i="4"/>
  <c r="H3" i="4"/>
  <c r="G3" i="4"/>
  <c r="F3" i="4"/>
  <c r="E3" i="4"/>
  <c r="D3" i="4"/>
  <c r="C3" i="4"/>
  <c r="B3" i="4"/>
  <c r="E1" i="4"/>
  <c r="J14" i="3"/>
  <c r="I14" i="3"/>
  <c r="G14" i="3"/>
  <c r="F14" i="3"/>
  <c r="B14" i="3"/>
  <c r="K12" i="3"/>
  <c r="J12" i="3"/>
  <c r="I12" i="3"/>
  <c r="H12" i="3"/>
  <c r="L12" i="2" s="1"/>
  <c r="L13" i="2" s="1"/>
  <c r="L14" i="2" s="1"/>
  <c r="L25" i="2" s="1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L8" i="2" s="1"/>
  <c r="M8" i="2" s="1"/>
  <c r="G8" i="3"/>
  <c r="F8" i="3"/>
  <c r="E8" i="3"/>
  <c r="D8" i="3"/>
  <c r="C8" i="3"/>
  <c r="B8" i="3"/>
  <c r="K7" i="3"/>
  <c r="J7" i="3"/>
  <c r="L7" i="2" s="1"/>
  <c r="I7" i="3"/>
  <c r="H7" i="3"/>
  <c r="G7" i="3"/>
  <c r="F7" i="3"/>
  <c r="E7" i="3"/>
  <c r="D7" i="3"/>
  <c r="C7" i="3"/>
  <c r="B7" i="3"/>
  <c r="K6" i="3"/>
  <c r="L6" i="2" s="1"/>
  <c r="J6" i="3"/>
  <c r="I6" i="3"/>
  <c r="H6" i="3"/>
  <c r="G6" i="3"/>
  <c r="F6" i="3"/>
  <c r="E6" i="3"/>
  <c r="E14" i="3" s="1"/>
  <c r="D6" i="3"/>
  <c r="C6" i="3"/>
  <c r="B6" i="3"/>
  <c r="K5" i="3"/>
  <c r="J5" i="3"/>
  <c r="I5" i="3"/>
  <c r="H5" i="3"/>
  <c r="G5" i="3"/>
  <c r="F5" i="3"/>
  <c r="E5" i="3"/>
  <c r="D5" i="3"/>
  <c r="C5" i="3"/>
  <c r="B5" i="3"/>
  <c r="K4" i="3"/>
  <c r="K14" i="3" s="1"/>
  <c r="J4" i="3"/>
  <c r="I4" i="3"/>
  <c r="H4" i="3"/>
  <c r="G4" i="3"/>
  <c r="F4" i="3"/>
  <c r="E4" i="3"/>
  <c r="D4" i="3"/>
  <c r="C4" i="3"/>
  <c r="C14" i="3" s="1"/>
  <c r="B4" i="3"/>
  <c r="K3" i="3"/>
  <c r="J3" i="3"/>
  <c r="I3" i="3"/>
  <c r="H3" i="3"/>
  <c r="G3" i="3"/>
  <c r="F3" i="3"/>
  <c r="E3" i="3"/>
  <c r="D3" i="3"/>
  <c r="C3" i="3"/>
  <c r="B3" i="3"/>
  <c r="E1" i="3"/>
  <c r="H23" i="2"/>
  <c r="F19" i="2"/>
  <c r="E19" i="2"/>
  <c r="K18" i="2"/>
  <c r="J18" i="2"/>
  <c r="I18" i="2"/>
  <c r="H18" i="2"/>
  <c r="G18" i="2"/>
  <c r="F18" i="2"/>
  <c r="E18" i="2"/>
  <c r="D18" i="2"/>
  <c r="C18" i="2"/>
  <c r="B18" i="2"/>
  <c r="L15" i="2"/>
  <c r="K15" i="2"/>
  <c r="J15" i="2"/>
  <c r="I15" i="2"/>
  <c r="H15" i="2"/>
  <c r="G15" i="2"/>
  <c r="F15" i="2"/>
  <c r="F14" i="2" s="1"/>
  <c r="E15" i="2"/>
  <c r="D15" i="2"/>
  <c r="D14" i="2" s="1"/>
  <c r="C15" i="2"/>
  <c r="C14" i="2" s="1"/>
  <c r="B15" i="2"/>
  <c r="B14" i="2" s="1"/>
  <c r="J14" i="2"/>
  <c r="H14" i="2"/>
  <c r="H13" i="2"/>
  <c r="G13" i="2"/>
  <c r="G14" i="2" s="1"/>
  <c r="F13" i="2"/>
  <c r="E13" i="2"/>
  <c r="D13" i="2"/>
  <c r="K12" i="2"/>
  <c r="J12" i="2"/>
  <c r="J13" i="2" s="1"/>
  <c r="I12" i="2"/>
  <c r="I13" i="2" s="1"/>
  <c r="I14" i="2" s="1"/>
  <c r="H12" i="2"/>
  <c r="G12" i="2"/>
  <c r="F12" i="2"/>
  <c r="E12" i="2"/>
  <c r="E23" i="4" s="1"/>
  <c r="D12" i="2"/>
  <c r="C12" i="2"/>
  <c r="C13" i="2" s="1"/>
  <c r="B12" i="2"/>
  <c r="B13" i="2" s="1"/>
  <c r="K11" i="2"/>
  <c r="J11" i="2"/>
  <c r="I11" i="2"/>
  <c r="H11" i="2"/>
  <c r="G11" i="2"/>
  <c r="F11" i="2"/>
  <c r="E11" i="2"/>
  <c r="D11" i="2"/>
  <c r="C11" i="2"/>
  <c r="B11" i="2"/>
  <c r="L10" i="2"/>
  <c r="K10" i="2"/>
  <c r="J10" i="2"/>
  <c r="I10" i="2"/>
  <c r="H10" i="2"/>
  <c r="G10" i="2"/>
  <c r="F10" i="2"/>
  <c r="E10" i="2"/>
  <c r="D10" i="2"/>
  <c r="C10" i="2"/>
  <c r="B10" i="2"/>
  <c r="L9" i="2"/>
  <c r="K9" i="2"/>
  <c r="J9" i="2"/>
  <c r="I9" i="2"/>
  <c r="H9" i="2"/>
  <c r="G9" i="2"/>
  <c r="F9" i="2"/>
  <c r="E9" i="2"/>
  <c r="D9" i="2"/>
  <c r="C9" i="2"/>
  <c r="B9" i="2"/>
  <c r="N8" i="2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I6" i="2"/>
  <c r="I19" i="2" s="1"/>
  <c r="G6" i="2"/>
  <c r="G19" i="2" s="1"/>
  <c r="L5" i="2"/>
  <c r="K5" i="2"/>
  <c r="J5" i="2"/>
  <c r="I5" i="2"/>
  <c r="H5" i="2"/>
  <c r="G5" i="2"/>
  <c r="F5" i="2"/>
  <c r="F6" i="2" s="1"/>
  <c r="E5" i="2"/>
  <c r="E6" i="2" s="1"/>
  <c r="D5" i="2"/>
  <c r="C5" i="2"/>
  <c r="B5" i="2"/>
  <c r="K4" i="2"/>
  <c r="J23" i="2" s="1"/>
  <c r="J4" i="2"/>
  <c r="I4" i="2"/>
  <c r="H4" i="2"/>
  <c r="G4" i="2"/>
  <c r="G21" i="4" s="1"/>
  <c r="F4" i="2"/>
  <c r="E4" i="2"/>
  <c r="D4" i="2"/>
  <c r="D20" i="4" s="1"/>
  <c r="C4" i="2"/>
  <c r="B4" i="2"/>
  <c r="K3" i="2"/>
  <c r="J3" i="2"/>
  <c r="I3" i="2"/>
  <c r="H3" i="2"/>
  <c r="G3" i="2"/>
  <c r="F3" i="2"/>
  <c r="E3" i="2"/>
  <c r="D3" i="2"/>
  <c r="C3" i="2"/>
  <c r="B3" i="2"/>
  <c r="H1" i="2"/>
  <c r="A1" i="2"/>
  <c r="A1" i="4" s="1"/>
  <c r="A1" i="5" s="1"/>
  <c r="D14" i="1"/>
  <c r="D12" i="1"/>
  <c r="K10" i="1"/>
  <c r="J10" i="1"/>
  <c r="I10" i="1"/>
  <c r="H10" i="1"/>
  <c r="G10" i="1"/>
  <c r="B6" i="1"/>
  <c r="B2" i="1"/>
  <c r="J42" i="8"/>
  <c r="D40" i="8"/>
  <c r="J39" i="8"/>
  <c r="H39" i="8"/>
  <c r="I38" i="8"/>
  <c r="G38" i="8"/>
  <c r="L34" i="8" a="1"/>
  <c r="L34" i="8" s="1"/>
  <c r="K34" i="8"/>
  <c r="J34" i="8" a="1"/>
  <c r="J34" i="8"/>
  <c r="I34" i="8" a="1"/>
  <c r="I34" i="8"/>
  <c r="H34" i="8" a="1"/>
  <c r="H34" i="8" s="1"/>
  <c r="G34" i="8" a="1"/>
  <c r="G34" i="8"/>
  <c r="F34" i="8" a="1"/>
  <c r="F34" i="8" s="1"/>
  <c r="E34" i="8" a="1"/>
  <c r="E34" i="8" s="1"/>
  <c r="D34" i="8" a="1"/>
  <c r="D34" i="8" s="1"/>
  <c r="L29" i="8"/>
  <c r="K29" i="8"/>
  <c r="J29" i="8"/>
  <c r="I29" i="8"/>
  <c r="H29" i="8"/>
  <c r="G29" i="8"/>
  <c r="F29" i="8"/>
  <c r="D29" i="8"/>
  <c r="C29" i="8"/>
  <c r="L28" i="8"/>
  <c r="G28" i="8"/>
  <c r="D28" i="8"/>
  <c r="L27" i="8"/>
  <c r="I27" i="8"/>
  <c r="D27" i="8"/>
  <c r="K23" i="8"/>
  <c r="J23" i="8"/>
  <c r="I23" i="8"/>
  <c r="H23" i="8"/>
  <c r="G23" i="8"/>
  <c r="F23" i="8"/>
  <c r="E23" i="8"/>
  <c r="C23" i="8"/>
  <c r="L22" i="8"/>
  <c r="L40" i="8" s="1"/>
  <c r="K22" i="8"/>
  <c r="K40" i="8" s="1"/>
  <c r="K42" i="8" s="1"/>
  <c r="I22" i="8"/>
  <c r="I40" i="8" s="1"/>
  <c r="G22" i="8"/>
  <c r="G40" i="8" s="1"/>
  <c r="F22" i="8"/>
  <c r="F40" i="8" s="1"/>
  <c r="F42" i="8" s="1"/>
  <c r="E22" i="8"/>
  <c r="E40" i="8" s="1"/>
  <c r="E42" i="8" s="1"/>
  <c r="D22" i="8"/>
  <c r="C22" i="8"/>
  <c r="C40" i="8" s="1"/>
  <c r="C42" i="8" s="1"/>
  <c r="K21" i="8"/>
  <c r="K39" i="8" s="1"/>
  <c r="J21" i="8"/>
  <c r="I21" i="8"/>
  <c r="I39" i="8" s="1"/>
  <c r="H21" i="8"/>
  <c r="G21" i="8"/>
  <c r="G39" i="8" s="1"/>
  <c r="F21" i="8"/>
  <c r="F39" i="8" s="1"/>
  <c r="E21" i="8"/>
  <c r="E39" i="8" s="1"/>
  <c r="C21" i="8"/>
  <c r="C39" i="8" s="1"/>
  <c r="L20" i="8"/>
  <c r="L38" i="8" s="1"/>
  <c r="K20" i="8"/>
  <c r="K38" i="8" s="1"/>
  <c r="J20" i="8"/>
  <c r="J38" i="8" s="1"/>
  <c r="I20" i="8"/>
  <c r="G20" i="8"/>
  <c r="F20" i="8"/>
  <c r="F38" i="8" s="1"/>
  <c r="E20" i="8"/>
  <c r="E38" i="8" s="1"/>
  <c r="D20" i="8"/>
  <c r="D38" i="8" s="1"/>
  <c r="C20" i="8"/>
  <c r="C38" i="8" s="1"/>
  <c r="L14" i="8"/>
  <c r="K14" i="8"/>
  <c r="I14" i="8"/>
  <c r="H14" i="8"/>
  <c r="F14" i="8"/>
  <c r="E14" i="8"/>
  <c r="D14" i="8"/>
  <c r="M3" i="8"/>
  <c r="L3" i="8"/>
  <c r="K3" i="8"/>
  <c r="J3" i="8"/>
  <c r="I3" i="8"/>
  <c r="H3" i="8"/>
  <c r="G3" i="8"/>
  <c r="F3" i="8"/>
  <c r="E3" i="8"/>
  <c r="D3" i="8"/>
  <c r="C3" i="8"/>
  <c r="B2" i="8"/>
  <c r="L13" i="7" l="1"/>
  <c r="L6" i="8" s="1"/>
  <c r="L17" i="7"/>
  <c r="M8" i="7"/>
  <c r="M21" i="8"/>
  <c r="M39" i="8" s="1"/>
  <c r="L11" i="2"/>
  <c r="N11" i="2" s="1"/>
  <c r="F24" i="4"/>
  <c r="E8" i="7"/>
  <c r="E12" i="7"/>
  <c r="F8" i="7"/>
  <c r="C17" i="7"/>
  <c r="C13" i="7"/>
  <c r="C6" i="8" s="1"/>
  <c r="C20" i="4"/>
  <c r="C6" i="2"/>
  <c r="C19" i="2" s="1"/>
  <c r="K20" i="4"/>
  <c r="K6" i="2"/>
  <c r="K19" i="2" s="1"/>
  <c r="I24" i="2" s="1"/>
  <c r="I23" i="2"/>
  <c r="N23" i="2" s="1"/>
  <c r="N4" i="2" s="1"/>
  <c r="N3" i="8"/>
  <c r="G42" i="8"/>
  <c r="J17" i="7"/>
  <c r="J13" i="7"/>
  <c r="J6" i="8" s="1"/>
  <c r="K24" i="2"/>
  <c r="D8" i="7"/>
  <c r="D21" i="8"/>
  <c r="D39" i="8" s="1"/>
  <c r="D42" i="8" s="1"/>
  <c r="D12" i="7"/>
  <c r="D23" i="8"/>
  <c r="I42" i="8"/>
  <c r="K13" i="2"/>
  <c r="K14" i="2" s="1"/>
  <c r="K23" i="4"/>
  <c r="D14" i="3"/>
  <c r="C23" i="4"/>
  <c r="L4" i="2"/>
  <c r="L19" i="2" s="1"/>
  <c r="L24" i="2" s="1"/>
  <c r="H14" i="3"/>
  <c r="H20" i="8"/>
  <c r="H38" i="8" s="1"/>
  <c r="H22" i="8"/>
  <c r="H40" i="8" s="1"/>
  <c r="H42" i="8" s="1"/>
  <c r="L8" i="7"/>
  <c r="L21" i="8"/>
  <c r="L39" i="8" s="1"/>
  <c r="L42" i="8" s="1"/>
  <c r="L23" i="8"/>
  <c r="E24" i="4"/>
  <c r="C21" i="4"/>
  <c r="K21" i="4"/>
  <c r="I17" i="7"/>
  <c r="I13" i="7"/>
  <c r="I6" i="8" s="1"/>
  <c r="M55" i="7"/>
  <c r="C34" i="8" a="1"/>
  <c r="C34" i="8" s="1"/>
  <c r="K23" i="2"/>
  <c r="H20" i="4"/>
  <c r="E14" i="2"/>
  <c r="H24" i="4"/>
  <c r="I20" i="4"/>
  <c r="C56" i="7"/>
  <c r="F9" i="9"/>
  <c r="K56" i="7"/>
  <c r="N9" i="9"/>
  <c r="N9" i="2"/>
  <c r="M9" i="2"/>
  <c r="G13" i="7"/>
  <c r="G6" i="8" s="1"/>
  <c r="G17" i="7"/>
  <c r="B20" i="4"/>
  <c r="B6" i="2"/>
  <c r="B19" i="2" s="1"/>
  <c r="H24" i="2" s="1"/>
  <c r="L23" i="2"/>
  <c r="J20" i="4"/>
  <c r="J6" i="2"/>
  <c r="J19" i="2" s="1"/>
  <c r="I23" i="4"/>
  <c r="H21" i="4"/>
  <c r="I24" i="4"/>
  <c r="H12" i="7"/>
  <c r="G8" i="7"/>
  <c r="E56" i="7"/>
  <c r="N53" i="7"/>
  <c r="M71" i="7"/>
  <c r="M50" i="7"/>
  <c r="H6" i="2"/>
  <c r="H19" i="2" s="1"/>
  <c r="J24" i="2" s="1"/>
  <c r="M11" i="2"/>
  <c r="C16" i="4"/>
  <c r="K16" i="4"/>
  <c r="B21" i="4"/>
  <c r="J21" i="4"/>
  <c r="B23" i="4"/>
  <c r="N96" i="7"/>
  <c r="N80" i="7"/>
  <c r="N72" i="7"/>
  <c r="N64" i="7"/>
  <c r="N55" i="7"/>
  <c r="N29" i="8" s="1"/>
  <c r="N46" i="7"/>
  <c r="N41" i="7"/>
  <c r="N36" i="7"/>
  <c r="N91" i="7"/>
  <c r="N83" i="7"/>
  <c r="N67" i="7"/>
  <c r="N94" i="7"/>
  <c r="N86" i="7"/>
  <c r="N78" i="7"/>
  <c r="N70" i="7"/>
  <c r="N49" i="7"/>
  <c r="N38" i="7"/>
  <c r="N25" i="7"/>
  <c r="N97" i="7"/>
  <c r="N81" i="7"/>
  <c r="N73" i="7"/>
  <c r="N65" i="7"/>
  <c r="N50" i="7"/>
  <c r="N42" i="7"/>
  <c r="N98" i="7"/>
  <c r="N92" i="7"/>
  <c r="N84" i="7"/>
  <c r="N74" i="7"/>
  <c r="N68" i="7"/>
  <c r="N95" i="7"/>
  <c r="N87" i="7"/>
  <c r="N79" i="7"/>
  <c r="N71" i="7"/>
  <c r="N63" i="7"/>
  <c r="N40" i="7"/>
  <c r="N30" i="7"/>
  <c r="N93" i="7"/>
  <c r="N85" i="7"/>
  <c r="N77" i="7"/>
  <c r="N69" i="7"/>
  <c r="N54" i="7"/>
  <c r="N10" i="7"/>
  <c r="N43" i="7"/>
  <c r="N51" i="7"/>
  <c r="O3" i="7"/>
  <c r="N82" i="7"/>
  <c r="N37" i="7"/>
  <c r="N7" i="7"/>
  <c r="M95" i="7"/>
  <c r="J58" i="7"/>
  <c r="M79" i="7"/>
  <c r="D23" i="4"/>
  <c r="M93" i="7"/>
  <c r="M85" i="7"/>
  <c r="M77" i="7"/>
  <c r="M69" i="7"/>
  <c r="M54" i="7"/>
  <c r="M20" i="7"/>
  <c r="M96" i="7"/>
  <c r="M80" i="7"/>
  <c r="M72" i="7"/>
  <c r="M64" i="7"/>
  <c r="M91" i="7"/>
  <c r="M83" i="7"/>
  <c r="M67" i="7"/>
  <c r="M48" i="7"/>
  <c r="M23" i="8" s="1"/>
  <c r="M37" i="7"/>
  <c r="M10" i="7"/>
  <c r="M94" i="7"/>
  <c r="M86" i="7"/>
  <c r="M78" i="7"/>
  <c r="M70" i="7"/>
  <c r="M49" i="7"/>
  <c r="M38" i="7"/>
  <c r="M25" i="7"/>
  <c r="M97" i="7"/>
  <c r="M81" i="7"/>
  <c r="M73" i="7"/>
  <c r="M65" i="7"/>
  <c r="M98" i="7"/>
  <c r="M92" i="7"/>
  <c r="M84" i="7"/>
  <c r="M74" i="7"/>
  <c r="M68" i="7"/>
  <c r="M51" i="7"/>
  <c r="M15" i="7"/>
  <c r="M88" i="7"/>
  <c r="M82" i="7"/>
  <c r="M66" i="7"/>
  <c r="M53" i="7"/>
  <c r="M43" i="7"/>
  <c r="F13" i="7"/>
  <c r="F6" i="8" s="1"/>
  <c r="F17" i="7"/>
  <c r="H8" i="7"/>
  <c r="H52" i="7"/>
  <c r="D52" i="7"/>
  <c r="D58" i="7" s="1"/>
  <c r="D19" i="8" s="1"/>
  <c r="L52" i="7"/>
  <c r="L58" i="7" s="1"/>
  <c r="L19" i="8" s="1"/>
  <c r="F56" i="7"/>
  <c r="N56" i="7" s="1"/>
  <c r="I9" i="9"/>
  <c r="G23" i="4"/>
  <c r="G5" i="11"/>
  <c r="J30" i="9"/>
  <c r="M46" i="7"/>
  <c r="I52" i="7"/>
  <c r="I58" i="7" s="1"/>
  <c r="J9" i="9"/>
  <c r="M87" i="7"/>
  <c r="D6" i="2"/>
  <c r="D19" i="2" s="1"/>
  <c r="A1" i="3"/>
  <c r="M30" i="7"/>
  <c r="M36" i="7"/>
  <c r="M63" i="7"/>
  <c r="D100" i="7"/>
  <c r="M100" i="7" s="1"/>
  <c r="L100" i="7"/>
  <c r="K12" i="7"/>
  <c r="M40" i="7"/>
  <c r="M44" i="7" s="1"/>
  <c r="C52" i="7"/>
  <c r="N52" i="7" s="1"/>
  <c r="K52" i="7"/>
  <c r="K58" i="7" s="1"/>
  <c r="G58" i="7"/>
  <c r="G24" i="8" s="1"/>
  <c r="H56" i="7"/>
  <c r="H5" i="11"/>
  <c r="P7" i="11"/>
  <c r="J56" i="7"/>
  <c r="H9" i="9"/>
  <c r="O6" i="11"/>
  <c r="O8" i="11"/>
  <c r="K25" i="2" l="1"/>
  <c r="M25" i="2" s="1"/>
  <c r="M14" i="2" s="1"/>
  <c r="J25" i="2"/>
  <c r="N28" i="8"/>
  <c r="N27" i="8"/>
  <c r="N24" i="2"/>
  <c r="N6" i="2" s="1"/>
  <c r="I25" i="2"/>
  <c r="E13" i="7"/>
  <c r="E6" i="8" s="1"/>
  <c r="E17" i="7"/>
  <c r="F22" i="7"/>
  <c r="F18" i="7"/>
  <c r="F7" i="8" s="1"/>
  <c r="N100" i="7"/>
  <c r="H58" i="7"/>
  <c r="N20" i="8"/>
  <c r="N38" i="8" s="1"/>
  <c r="N22" i="8"/>
  <c r="N40" i="8" s="1"/>
  <c r="N42" i="8" s="1"/>
  <c r="N44" i="7"/>
  <c r="H17" i="7"/>
  <c r="H13" i="7"/>
  <c r="H6" i="8" s="1"/>
  <c r="K28" i="8"/>
  <c r="K27" i="8"/>
  <c r="P34" i="8"/>
  <c r="O34" i="8"/>
  <c r="N34" i="8"/>
  <c r="Q34" i="8"/>
  <c r="M34" i="8"/>
  <c r="J18" i="7"/>
  <c r="J7" i="8" s="1"/>
  <c r="J22" i="7"/>
  <c r="L24" i="8"/>
  <c r="L15" i="8"/>
  <c r="J19" i="8"/>
  <c r="J15" i="8"/>
  <c r="J24" i="8"/>
  <c r="N14" i="8"/>
  <c r="M24" i="2"/>
  <c r="M23" i="2"/>
  <c r="M4" i="2" s="1"/>
  <c r="P19" i="11"/>
  <c r="O19" i="11"/>
  <c r="N23" i="8"/>
  <c r="N8" i="7"/>
  <c r="N21" i="8"/>
  <c r="N39" i="8" s="1"/>
  <c r="G18" i="7"/>
  <c r="G7" i="8" s="1"/>
  <c r="G22" i="7"/>
  <c r="M29" i="8"/>
  <c r="K19" i="8"/>
  <c r="K24" i="8"/>
  <c r="K15" i="8"/>
  <c r="I24" i="8"/>
  <c r="I15" i="8"/>
  <c r="I19" i="8"/>
  <c r="E27" i="8"/>
  <c r="E28" i="8"/>
  <c r="C58" i="7"/>
  <c r="M52" i="7"/>
  <c r="J27" i="8"/>
  <c r="J28" i="8"/>
  <c r="K17" i="7"/>
  <c r="K13" i="7"/>
  <c r="K6" i="8" s="1"/>
  <c r="M12" i="7"/>
  <c r="M13" i="7" s="1"/>
  <c r="M6" i="8" s="1"/>
  <c r="E58" i="7"/>
  <c r="C27" i="8"/>
  <c r="C28" i="8"/>
  <c r="O3" i="8"/>
  <c r="L18" i="7"/>
  <c r="L7" i="8" s="1"/>
  <c r="L22" i="7"/>
  <c r="K5" i="11"/>
  <c r="D24" i="8"/>
  <c r="D15" i="8"/>
  <c r="M22" i="8"/>
  <c r="M40" i="8" s="1"/>
  <c r="M42" i="8" s="1"/>
  <c r="M20" i="8"/>
  <c r="M38" i="8" s="1"/>
  <c r="I18" i="7"/>
  <c r="I7" i="8" s="1"/>
  <c r="I22" i="7"/>
  <c r="D13" i="7"/>
  <c r="D6" i="8" s="1"/>
  <c r="D17" i="7"/>
  <c r="C22" i="7"/>
  <c r="C18" i="7"/>
  <c r="C7" i="8" s="1"/>
  <c r="G15" i="8"/>
  <c r="G19" i="8"/>
  <c r="F28" i="8"/>
  <c r="F27" i="8"/>
  <c r="M56" i="7"/>
  <c r="P5" i="11"/>
  <c r="O5" i="11"/>
  <c r="H27" i="8"/>
  <c r="H28" i="8"/>
  <c r="F58" i="7"/>
  <c r="M14" i="8"/>
  <c r="O91" i="7"/>
  <c r="O83" i="7"/>
  <c r="O67" i="7"/>
  <c r="O56" i="7"/>
  <c r="O48" i="7"/>
  <c r="O37" i="7"/>
  <c r="O94" i="7"/>
  <c r="O86" i="7"/>
  <c r="O78" i="7"/>
  <c r="O70" i="7"/>
  <c r="O58" i="7"/>
  <c r="O97" i="7"/>
  <c r="O81" i="7"/>
  <c r="O73" i="7"/>
  <c r="O65" i="7"/>
  <c r="O50" i="7"/>
  <c r="O42" i="7"/>
  <c r="O98" i="7"/>
  <c r="O92" i="7"/>
  <c r="O84" i="7"/>
  <c r="O74" i="7"/>
  <c r="O68" i="7"/>
  <c r="O51" i="7"/>
  <c r="O15" i="7"/>
  <c r="O100" i="7"/>
  <c r="O95" i="7"/>
  <c r="O87" i="7"/>
  <c r="O79" i="7"/>
  <c r="O71" i="7"/>
  <c r="O63" i="7"/>
  <c r="O52" i="7"/>
  <c r="O88" i="7"/>
  <c r="O82" i="7"/>
  <c r="O66" i="7"/>
  <c r="O53" i="7"/>
  <c r="O43" i="7"/>
  <c r="O96" i="7"/>
  <c r="O80" i="7"/>
  <c r="O72" i="7"/>
  <c r="O64" i="7"/>
  <c r="O55" i="7"/>
  <c r="O46" i="7"/>
  <c r="O41" i="7"/>
  <c r="O36" i="7"/>
  <c r="O77" i="7"/>
  <c r="O30" i="7"/>
  <c r="O25" i="7"/>
  <c r="O10" i="7"/>
  <c r="O54" i="7"/>
  <c r="O38" i="7"/>
  <c r="O49" i="7"/>
  <c r="P3" i="7"/>
  <c r="O85" i="7"/>
  <c r="O20" i="7"/>
  <c r="O93" i="7"/>
  <c r="O69" i="7"/>
  <c r="O12" i="7"/>
  <c r="O13" i="7" s="1"/>
  <c r="O6" i="8" s="1"/>
  <c r="O40" i="7"/>
  <c r="O44" i="7" s="1"/>
  <c r="O7" i="7"/>
  <c r="N12" i="7"/>
  <c r="N13" i="7" s="1"/>
  <c r="N6" i="8" s="1"/>
  <c r="H25" i="2"/>
  <c r="N25" i="2" s="1"/>
  <c r="N14" i="2" s="1"/>
  <c r="N10" i="2" l="1"/>
  <c r="N12" i="2" s="1"/>
  <c r="N13" i="2" s="1"/>
  <c r="N15" i="2" s="1"/>
  <c r="N5" i="2"/>
  <c r="O14" i="8"/>
  <c r="O15" i="8"/>
  <c r="O28" i="8"/>
  <c r="O27" i="8"/>
  <c r="C24" i="8"/>
  <c r="C19" i="8"/>
  <c r="C15" i="8"/>
  <c r="M58" i="7"/>
  <c r="N58" i="7"/>
  <c r="D18" i="7"/>
  <c r="D7" i="8" s="1"/>
  <c r="D22" i="7"/>
  <c r="N17" i="7"/>
  <c r="N18" i="7" s="1"/>
  <c r="N7" i="8" s="1"/>
  <c r="M17" i="7"/>
  <c r="M18" i="7" s="1"/>
  <c r="M7" i="8" s="1"/>
  <c r="O29" i="8"/>
  <c r="F4" i="9"/>
  <c r="C23" i="7"/>
  <c r="C8" i="8" s="1"/>
  <c r="C16" i="8"/>
  <c r="C27" i="7"/>
  <c r="N22" i="7"/>
  <c r="O24" i="8"/>
  <c r="O22" i="8"/>
  <c r="O40" i="8" s="1"/>
  <c r="O20" i="8"/>
  <c r="O38" i="8" s="1"/>
  <c r="G23" i="7"/>
  <c r="G8" i="8" s="1"/>
  <c r="G27" i="7"/>
  <c r="J4" i="9"/>
  <c r="G16" i="8"/>
  <c r="I27" i="7"/>
  <c r="L4" i="9"/>
  <c r="I16" i="8"/>
  <c r="I23" i="7"/>
  <c r="I8" i="8" s="1"/>
  <c r="L23" i="7"/>
  <c r="L8" i="8" s="1"/>
  <c r="L5" i="11"/>
  <c r="L27" i="7"/>
  <c r="O4" i="9"/>
  <c r="L16" i="8"/>
  <c r="D13" i="1" s="1"/>
  <c r="M4" i="9"/>
  <c r="J23" i="7"/>
  <c r="J8" i="8" s="1"/>
  <c r="J27" i="7"/>
  <c r="J16" i="8"/>
  <c r="P15" i="11"/>
  <c r="P12" i="11"/>
  <c r="P14" i="11"/>
  <c r="P11" i="11"/>
  <c r="P13" i="11"/>
  <c r="P10" i="11"/>
  <c r="E24" i="8"/>
  <c r="E19" i="8"/>
  <c r="E15" i="8"/>
  <c r="P18" i="11"/>
  <c r="P20" i="11" s="1"/>
  <c r="P22" i="11" s="1"/>
  <c r="K22" i="7"/>
  <c r="K18" i="7"/>
  <c r="K7" i="8" s="1"/>
  <c r="O23" i="8"/>
  <c r="O19" i="8"/>
  <c r="O21" i="8"/>
  <c r="O39" i="8" s="1"/>
  <c r="O8" i="7"/>
  <c r="O17" i="7"/>
  <c r="O18" i="7" s="1"/>
  <c r="O7" i="8" s="1"/>
  <c r="P94" i="7"/>
  <c r="P86" i="7"/>
  <c r="P78" i="7"/>
  <c r="P70" i="7"/>
  <c r="P58" i="7"/>
  <c r="P49" i="7"/>
  <c r="P38" i="7"/>
  <c r="P25" i="7"/>
  <c r="P97" i="7"/>
  <c r="P81" i="7"/>
  <c r="P73" i="7"/>
  <c r="P65" i="7"/>
  <c r="P98" i="7"/>
  <c r="P92" i="7"/>
  <c r="P84" i="7"/>
  <c r="P74" i="7"/>
  <c r="P68" i="7"/>
  <c r="P51" i="7"/>
  <c r="P15" i="7"/>
  <c r="P100" i="7"/>
  <c r="P95" i="7"/>
  <c r="P87" i="7"/>
  <c r="P79" i="7"/>
  <c r="P71" i="7"/>
  <c r="P63" i="7"/>
  <c r="P52" i="7"/>
  <c r="P40" i="7"/>
  <c r="P30" i="7"/>
  <c r="P17" i="7"/>
  <c r="P88" i="7"/>
  <c r="P82" i="7"/>
  <c r="P66" i="7"/>
  <c r="P53" i="7"/>
  <c r="P93" i="7"/>
  <c r="P85" i="7"/>
  <c r="P77" i="7"/>
  <c r="P69" i="7"/>
  <c r="P54" i="7"/>
  <c r="P20" i="7"/>
  <c r="P91" i="7"/>
  <c r="P83" i="7"/>
  <c r="P67" i="7"/>
  <c r="P56" i="7"/>
  <c r="P48" i="7"/>
  <c r="P37" i="7"/>
  <c r="P64" i="7"/>
  <c r="P36" i="7"/>
  <c r="P46" i="7"/>
  <c r="P43" i="7"/>
  <c r="Q3" i="7"/>
  <c r="P96" i="7"/>
  <c r="P72" i="7"/>
  <c r="P42" i="7"/>
  <c r="P7" i="7"/>
  <c r="P55" i="7"/>
  <c r="P41" i="7"/>
  <c r="P50" i="7"/>
  <c r="P10" i="7"/>
  <c r="P12" i="7"/>
  <c r="P80" i="7"/>
  <c r="F19" i="8"/>
  <c r="F24" i="8"/>
  <c r="F15" i="8"/>
  <c r="H18" i="7"/>
  <c r="H7" i="8" s="1"/>
  <c r="H22" i="7"/>
  <c r="F27" i="7"/>
  <c r="I4" i="9"/>
  <c r="F23" i="7"/>
  <c r="F8" i="8" s="1"/>
  <c r="F16" i="8"/>
  <c r="O10" i="11"/>
  <c r="O15" i="11"/>
  <c r="O12" i="11"/>
  <c r="O18" i="11" s="1"/>
  <c r="O20" i="11" s="1"/>
  <c r="O22" i="11" s="1"/>
  <c r="O14" i="11"/>
  <c r="O11" i="11"/>
  <c r="O13" i="11"/>
  <c r="M28" i="8"/>
  <c r="M27" i="8"/>
  <c r="M6" i="2"/>
  <c r="M10" i="2" s="1"/>
  <c r="M12" i="2" s="1"/>
  <c r="M13" i="2" s="1"/>
  <c r="M15" i="2" s="1"/>
  <c r="H15" i="8"/>
  <c r="H19" i="8"/>
  <c r="H24" i="8"/>
  <c r="P3" i="8"/>
  <c r="E22" i="7"/>
  <c r="P22" i="7" s="1"/>
  <c r="E18" i="7"/>
  <c r="E7" i="8" s="1"/>
  <c r="P23" i="7" l="1"/>
  <c r="P8" i="8" s="1"/>
  <c r="P16" i="8"/>
  <c r="P44" i="7"/>
  <c r="M5" i="2"/>
  <c r="P8" i="7"/>
  <c r="P21" i="8"/>
  <c r="P39" i="8" s="1"/>
  <c r="P19" i="8"/>
  <c r="P23" i="8"/>
  <c r="N4" i="9"/>
  <c r="K23" i="7"/>
  <c r="K8" i="8" s="1"/>
  <c r="K27" i="7"/>
  <c r="K16" i="8"/>
  <c r="M22" i="7"/>
  <c r="D23" i="7"/>
  <c r="D8" i="8" s="1"/>
  <c r="D27" i="7"/>
  <c r="Q27" i="7" s="1"/>
  <c r="Q28" i="7" s="1"/>
  <c r="G4" i="9"/>
  <c r="D16" i="8"/>
  <c r="P15" i="8"/>
  <c r="P14" i="8"/>
  <c r="G28" i="7"/>
  <c r="G32" i="7"/>
  <c r="N15" i="8"/>
  <c r="N19" i="8"/>
  <c r="N24" i="8"/>
  <c r="P29" i="8"/>
  <c r="E23" i="7"/>
  <c r="E8" i="8" s="1"/>
  <c r="H4" i="9"/>
  <c r="E27" i="7"/>
  <c r="E16" i="8"/>
  <c r="Q3" i="8"/>
  <c r="M19" i="8"/>
  <c r="M24" i="8"/>
  <c r="M15" i="8"/>
  <c r="I32" i="7"/>
  <c r="I28" i="7"/>
  <c r="L32" i="7"/>
  <c r="L28" i="7"/>
  <c r="C10" i="9"/>
  <c r="C28" i="7"/>
  <c r="C32" i="7"/>
  <c r="M27" i="7"/>
  <c r="M28" i="7" s="1"/>
  <c r="O27" i="7"/>
  <c r="O28" i="7" s="1"/>
  <c r="O22" i="7"/>
  <c r="P13" i="7"/>
  <c r="P6" i="8" s="1"/>
  <c r="F28" i="7"/>
  <c r="F32" i="7"/>
  <c r="P20" i="8"/>
  <c r="P38" i="8" s="1"/>
  <c r="P24" i="8"/>
  <c r="P22" i="8"/>
  <c r="P40" i="8" s="1"/>
  <c r="P42" i="8" s="1"/>
  <c r="P18" i="7"/>
  <c r="P7" i="8" s="1"/>
  <c r="J28" i="7"/>
  <c r="J32" i="7"/>
  <c r="P27" i="8"/>
  <c r="P28" i="8"/>
  <c r="Q97" i="7"/>
  <c r="Q81" i="7"/>
  <c r="Q73" i="7"/>
  <c r="Q65" i="7"/>
  <c r="Q50" i="7"/>
  <c r="Q42" i="7"/>
  <c r="Q98" i="7"/>
  <c r="Q92" i="7"/>
  <c r="Q84" i="7"/>
  <c r="Q74" i="7"/>
  <c r="Q68" i="7"/>
  <c r="Q100" i="7"/>
  <c r="Q95" i="7"/>
  <c r="Q87" i="7"/>
  <c r="Q79" i="7"/>
  <c r="Q71" i="7"/>
  <c r="Q63" i="7"/>
  <c r="Q52" i="7"/>
  <c r="Q40" i="7"/>
  <c r="Q30" i="7"/>
  <c r="Q17" i="7"/>
  <c r="Q88" i="7"/>
  <c r="Q82" i="7"/>
  <c r="Q66" i="7"/>
  <c r="Q53" i="7"/>
  <c r="Q43" i="7"/>
  <c r="Q93" i="7"/>
  <c r="Q85" i="7"/>
  <c r="Q77" i="7"/>
  <c r="Q69" i="7"/>
  <c r="Q54" i="7"/>
  <c r="Q96" i="7"/>
  <c r="Q80" i="7"/>
  <c r="Q72" i="7"/>
  <c r="Q64" i="7"/>
  <c r="Q55" i="7"/>
  <c r="Q46" i="7"/>
  <c r="Q41" i="7"/>
  <c r="Q36" i="7"/>
  <c r="Q22" i="7"/>
  <c r="Q94" i="7"/>
  <c r="Q86" i="7"/>
  <c r="Q78" i="7"/>
  <c r="Q70" i="7"/>
  <c r="Q58" i="7"/>
  <c r="Q49" i="7"/>
  <c r="Q38" i="7"/>
  <c r="Q25" i="7"/>
  <c r="Q51" i="7"/>
  <c r="Q20" i="7"/>
  <c r="Q7" i="7"/>
  <c r="Q56" i="7"/>
  <c r="Q12" i="7"/>
  <c r="Q13" i="7" s="1"/>
  <c r="Q6" i="8" s="1"/>
  <c r="Q48" i="7"/>
  <c r="Q44" i="7"/>
  <c r="Q91" i="7"/>
  <c r="Q67" i="7"/>
  <c r="Q37" i="7"/>
  <c r="Q83" i="7"/>
  <c r="Q15" i="7"/>
  <c r="Q10" i="7"/>
  <c r="N23" i="7"/>
  <c r="N8" i="8" s="1"/>
  <c r="N16" i="8"/>
  <c r="K4" i="9"/>
  <c r="H23" i="7"/>
  <c r="H8" i="8" s="1"/>
  <c r="H27" i="7"/>
  <c r="H16" i="8"/>
  <c r="O42" i="8"/>
  <c r="Q15" i="8" l="1"/>
  <c r="Q14" i="8"/>
  <c r="I10" i="8"/>
  <c r="I33" i="7"/>
  <c r="I9" i="8" s="1"/>
  <c r="I32" i="8"/>
  <c r="I33" i="8" s="1"/>
  <c r="I11" i="8"/>
  <c r="E28" i="7"/>
  <c r="E32" i="7"/>
  <c r="C33" i="7"/>
  <c r="C9" i="8" s="1"/>
  <c r="C32" i="8"/>
  <c r="C11" i="8"/>
  <c r="C10" i="8"/>
  <c r="H11" i="9"/>
  <c r="M23" i="7"/>
  <c r="M8" i="8" s="1"/>
  <c r="M16" i="8"/>
  <c r="Q16" i="8"/>
  <c r="Q23" i="7"/>
  <c r="Q8" i="8" s="1"/>
  <c r="D32" i="7"/>
  <c r="D28" i="7"/>
  <c r="N27" i="7"/>
  <c r="N28" i="7" s="1"/>
  <c r="Q28" i="8"/>
  <c r="Q27" i="8"/>
  <c r="Q18" i="7"/>
  <c r="Q7" i="8" s="1"/>
  <c r="F33" i="7"/>
  <c r="F9" i="8" s="1"/>
  <c r="F11" i="8"/>
  <c r="F10" i="8"/>
  <c r="F32" i="8"/>
  <c r="F33" i="8" s="1"/>
  <c r="N11" i="9"/>
  <c r="G33" i="7"/>
  <c r="G9" i="8" s="1"/>
  <c r="G10" i="8"/>
  <c r="G32" i="8"/>
  <c r="G33" i="8" s="1"/>
  <c r="G11" i="8"/>
  <c r="P27" i="7"/>
  <c r="P28" i="7" s="1"/>
  <c r="L5" i="9"/>
  <c r="L11" i="9" s="1"/>
  <c r="K5" i="9"/>
  <c r="K11" i="9" s="1"/>
  <c r="J5" i="9"/>
  <c r="J11" i="9" s="1"/>
  <c r="I5" i="9"/>
  <c r="I11" i="9" s="1"/>
  <c r="H5" i="9"/>
  <c r="O5" i="9"/>
  <c r="O11" i="9" s="1"/>
  <c r="G5" i="9"/>
  <c r="M5" i="9"/>
  <c r="M11" i="9" s="1"/>
  <c r="N5" i="9"/>
  <c r="F5" i="9"/>
  <c r="F11" i="9" s="1"/>
  <c r="C11" i="9"/>
  <c r="C17" i="9" s="1"/>
  <c r="Q22" i="8"/>
  <c r="Q40" i="8" s="1"/>
  <c r="Q24" i="8"/>
  <c r="Q20" i="8"/>
  <c r="Q38" i="8" s="1"/>
  <c r="Q29" i="8"/>
  <c r="Q21" i="8"/>
  <c r="Q39" i="8" s="1"/>
  <c r="Q23" i="8"/>
  <c r="Q8" i="7"/>
  <c r="Q19" i="8"/>
  <c r="J33" i="7"/>
  <c r="J9" i="8" s="1"/>
  <c r="J32" i="8"/>
  <c r="J33" i="8" s="1"/>
  <c r="J11" i="8"/>
  <c r="J10" i="8"/>
  <c r="K28" i="7"/>
  <c r="K32" i="7"/>
  <c r="G11" i="9"/>
  <c r="H28" i="7"/>
  <c r="H32" i="7"/>
  <c r="O23" i="7"/>
  <c r="O8" i="8" s="1"/>
  <c r="O16" i="8"/>
  <c r="M5" i="11"/>
  <c r="L32" i="8"/>
  <c r="L33" i="8" s="1"/>
  <c r="D15" i="1" s="1"/>
  <c r="L33" i="7"/>
  <c r="L9" i="8" s="1"/>
  <c r="D10" i="1" s="1"/>
  <c r="L11" i="8"/>
  <c r="D11" i="1" s="1"/>
  <c r="L10" i="8"/>
  <c r="K33" i="7" l="1"/>
  <c r="K9" i="8" s="1"/>
  <c r="K32" i="8"/>
  <c r="K33" i="8" s="1"/>
  <c r="K11" i="8"/>
  <c r="K10" i="8"/>
  <c r="P32" i="7"/>
  <c r="E33" i="7"/>
  <c r="E9" i="8" s="1"/>
  <c r="E10" i="8"/>
  <c r="E11" i="8"/>
  <c r="E32" i="8"/>
  <c r="E33" i="8" s="1"/>
  <c r="D33" i="7"/>
  <c r="D9" i="8" s="1"/>
  <c r="D11" i="8"/>
  <c r="D10" i="8"/>
  <c r="D32" i="8"/>
  <c r="Q32" i="7"/>
  <c r="O32" i="7"/>
  <c r="N32" i="7"/>
  <c r="M32" i="7"/>
  <c r="B37" i="9"/>
  <c r="F15" i="1" s="1"/>
  <c r="B33" i="9"/>
  <c r="F11" i="1" s="1"/>
  <c r="B34" i="9"/>
  <c r="F12" i="1" s="1"/>
  <c r="B35" i="9"/>
  <c r="F13" i="1" s="1"/>
  <c r="F14" i="9"/>
  <c r="B36" i="9"/>
  <c r="F14" i="1" s="1"/>
  <c r="Q5" i="11"/>
  <c r="F15" i="9"/>
  <c r="H33" i="7"/>
  <c r="H9" i="8" s="1"/>
  <c r="H32" i="8"/>
  <c r="H33" i="8" s="1"/>
  <c r="H10" i="8"/>
  <c r="H11" i="8"/>
  <c r="D34" i="9"/>
  <c r="H12" i="1" s="1"/>
  <c r="G36" i="9"/>
  <c r="K14" i="1" s="1"/>
  <c r="F36" i="9"/>
  <c r="J14" i="1" s="1"/>
  <c r="G37" i="9"/>
  <c r="K15" i="1" s="1"/>
  <c r="E36" i="9"/>
  <c r="I14" i="1" s="1"/>
  <c r="C35" i="9"/>
  <c r="G13" i="1" s="1"/>
  <c r="G33" i="9"/>
  <c r="K11" i="1" s="1"/>
  <c r="D36" i="9"/>
  <c r="H14" i="1" s="1"/>
  <c r="F33" i="9"/>
  <c r="J11" i="1" s="1"/>
  <c r="C36" i="9"/>
  <c r="G14" i="1" s="1"/>
  <c r="G34" i="9"/>
  <c r="K12" i="1" s="1"/>
  <c r="E33" i="9"/>
  <c r="I11" i="1" s="1"/>
  <c r="C37" i="9"/>
  <c r="G15" i="1" s="1"/>
  <c r="C33" i="9"/>
  <c r="G11" i="1" s="1"/>
  <c r="D33" i="9"/>
  <c r="H11" i="1" s="1"/>
  <c r="D37" i="9"/>
  <c r="H15" i="1" s="1"/>
  <c r="Q42" i="8"/>
  <c r="C33" i="8"/>
  <c r="N32" i="8"/>
  <c r="P32" i="8"/>
  <c r="N33" i="7" l="1"/>
  <c r="N9" i="8" s="1"/>
  <c r="N11" i="8"/>
  <c r="N10" i="8"/>
  <c r="F35" i="9"/>
  <c r="J13" i="1" s="1"/>
  <c r="O32" i="8"/>
  <c r="F34" i="9"/>
  <c r="J12" i="1" s="1"/>
  <c r="E37" i="9"/>
  <c r="I15" i="1" s="1"/>
  <c r="D35" i="9"/>
  <c r="H13" i="1" s="1"/>
  <c r="Q12" i="11"/>
  <c r="Q20" i="11" s="1"/>
  <c r="Q22" i="11" s="1"/>
  <c r="Q14" i="11"/>
  <c r="Q11" i="11"/>
  <c r="Q13" i="11"/>
  <c r="Q10" i="11"/>
  <c r="Q15" i="11"/>
  <c r="O33" i="7"/>
  <c r="O9" i="8" s="1"/>
  <c r="O10" i="8"/>
  <c r="O11" i="8"/>
  <c r="M32" i="8"/>
  <c r="E34" i="9"/>
  <c r="I12" i="1" s="1"/>
  <c r="M33" i="8"/>
  <c r="P33" i="8"/>
  <c r="N33" i="8"/>
  <c r="G35" i="9"/>
  <c r="K13" i="1" s="1"/>
  <c r="F37" i="9"/>
  <c r="J15" i="1" s="1"/>
  <c r="C34" i="9"/>
  <c r="G12" i="1" s="1"/>
  <c r="Q33" i="7"/>
  <c r="Q9" i="8" s="1"/>
  <c r="Q10" i="8"/>
  <c r="Q11" i="8"/>
  <c r="E35" i="9"/>
  <c r="I13" i="1" s="1"/>
  <c r="M33" i="7"/>
  <c r="M9" i="8" s="1"/>
  <c r="M10" i="8"/>
  <c r="M11" i="8"/>
  <c r="D33" i="8"/>
  <c r="Q33" i="8" s="1"/>
  <c r="Q32" i="8"/>
  <c r="I17" i="9"/>
  <c r="I18" i="9" s="1"/>
  <c r="H17" i="9"/>
  <c r="H18" i="9" s="1"/>
  <c r="O17" i="9"/>
  <c r="O18" i="9" s="1"/>
  <c r="G17" i="9"/>
  <c r="G18" i="9" s="1"/>
  <c r="N17" i="9"/>
  <c r="N18" i="9" s="1"/>
  <c r="F17" i="9"/>
  <c r="F18" i="9" s="1"/>
  <c r="M17" i="9"/>
  <c r="M18" i="9" s="1"/>
  <c r="L17" i="9"/>
  <c r="L18" i="9" s="1"/>
  <c r="J17" i="9"/>
  <c r="J18" i="9" s="1"/>
  <c r="K17" i="9"/>
  <c r="K18" i="9" s="1"/>
  <c r="P33" i="7"/>
  <c r="P9" i="8" s="1"/>
  <c r="P11" i="8"/>
  <c r="P10" i="8"/>
  <c r="O33" i="8" l="1"/>
  <c r="F21" i="9"/>
  <c r="F23" i="9" s="1"/>
  <c r="F27" i="9" s="1"/>
  <c r="F19" i="9"/>
  <c r="C40" i="9" l="1"/>
  <c r="H6" i="1" s="1"/>
  <c r="D6" i="1"/>
  <c r="F6" i="1"/>
</calcChain>
</file>

<file path=xl/sharedStrings.xml><?xml version="1.0" encoding="utf-8"?>
<sst xmlns="http://schemas.openxmlformats.org/spreadsheetml/2006/main" count="358" uniqueCount="261">
  <si>
    <t>Current Price (₹)</t>
  </si>
  <si>
    <t>DCF Fair Value (₹)</t>
  </si>
  <si>
    <t>Upside / (Downside)</t>
  </si>
  <si>
    <t>Verdict</t>
  </si>
  <si>
    <t>Key Ratios — Latest Year (FY26)</t>
  </si>
  <si>
    <t>DCF Sensitivity — Implied Price (₹)</t>
  </si>
  <si>
    <t>Net Profit Margin</t>
  </si>
  <si>
    <t>WACC\Growth</t>
  </si>
  <si>
    <t>Return on Equity</t>
  </si>
  <si>
    <t>Debt / Equity</t>
  </si>
  <si>
    <t>Interest Coverage</t>
  </si>
  <si>
    <t>Current Ratio</t>
  </si>
  <si>
    <t>P/E Ratio</t>
  </si>
  <si>
    <t>SCREENER.IN</t>
  </si>
  <si>
    <t>Narration</t>
  </si>
  <si>
    <t>Trailing</t>
  </si>
  <si>
    <t>Best Case</t>
  </si>
  <si>
    <t>Worst Case</t>
  </si>
  <si>
    <t>Sales</t>
  </si>
  <si>
    <t>Expenses</t>
  </si>
  <si>
    <t>Operating Profit</t>
  </si>
  <si>
    <t>Other Income</t>
  </si>
  <si>
    <t>Depreciation</t>
  </si>
  <si>
    <t>Interest</t>
  </si>
  <si>
    <t>Profit before tax</t>
  </si>
  <si>
    <t>Tax</t>
  </si>
  <si>
    <t>Net profit</t>
  </si>
  <si>
    <t>EPS</t>
  </si>
  <si>
    <t>Price to earning</t>
  </si>
  <si>
    <t>Price</t>
  </si>
  <si>
    <t>RATIOS:</t>
  </si>
  <si>
    <t>Dividend Payout</t>
  </si>
  <si>
    <t>OPM</t>
  </si>
  <si>
    <t>TRENDS:</t>
  </si>
  <si>
    <t>10 YEARS</t>
  </si>
  <si>
    <t>7 YEARS</t>
  </si>
  <si>
    <t>5 YEARS</t>
  </si>
  <si>
    <t>3 YEARS</t>
  </si>
  <si>
    <t>RECENT</t>
  </si>
  <si>
    <t>BEST</t>
  </si>
  <si>
    <t>WORST</t>
  </si>
  <si>
    <t>Sales Growth</t>
  </si>
  <si>
    <t>Price to Earning</t>
  </si>
  <si>
    <t>Equity Share Capital</t>
  </si>
  <si>
    <t>Reserves</t>
  </si>
  <si>
    <t>Borrowings</t>
  </si>
  <si>
    <t>Other Liabilities</t>
  </si>
  <si>
    <t>Total</t>
  </si>
  <si>
    <t>Net Block</t>
  </si>
  <si>
    <t>Capital Work in Progress</t>
  </si>
  <si>
    <t>Investments</t>
  </si>
  <si>
    <t>Other Assets</t>
  </si>
  <si>
    <t>Working Capital</t>
  </si>
  <si>
    <t>Debtors</t>
  </si>
  <si>
    <t>Inventory</t>
  </si>
  <si>
    <t>Debtor Days</t>
  </si>
  <si>
    <t>Inventory Turnover</t>
  </si>
  <si>
    <t>Return on Capital Emp</t>
  </si>
  <si>
    <t>Cash from Operating Activity</t>
  </si>
  <si>
    <t>Cash from Investing Activity</t>
  </si>
  <si>
    <t>Cash from Financing Activity</t>
  </si>
  <si>
    <t>Net Cash Flow</t>
  </si>
  <si>
    <t>How to use it?</t>
  </si>
  <si>
    <t>You can customize this workbook as you want.</t>
  </si>
  <si>
    <t>You can add custom formating, add conditional formating, add your own formulas… do ANYTHING.</t>
  </si>
  <si>
    <t>Please don't edit the "Data Sheet" only.</t>
  </si>
  <si>
    <t>After customization, you can upload this back on Screener.</t>
  </si>
  <si>
    <t>Upload on:</t>
  </si>
  <si>
    <t xml:space="preserve"> https://www.screener.in/excel/</t>
  </si>
  <si>
    <t>Download your customized workbooks now onwards.</t>
  </si>
  <si>
    <t>Now whenever you will "Export to excel" from Screener, it will export your customized file.</t>
  </si>
  <si>
    <t>TESTING:</t>
  </si>
  <si>
    <t>This is a testing feature currently.</t>
  </si>
  <si>
    <t>You can report any formula errors on the worksheet at: support@screener.in</t>
  </si>
  <si>
    <t>Year</t>
  </si>
  <si>
    <t>#</t>
  </si>
  <si>
    <t>Income Statement</t>
  </si>
  <si>
    <t>Sales Margin</t>
  </si>
  <si>
    <t>-</t>
  </si>
  <si>
    <t>COGS</t>
  </si>
  <si>
    <t>Gross Profit</t>
  </si>
  <si>
    <t>Gross Profit Margins</t>
  </si>
  <si>
    <t>Selling and General Expenses</t>
  </si>
  <si>
    <t>EBITDA</t>
  </si>
  <si>
    <t>EBITDA Margins</t>
  </si>
  <si>
    <t>Depp&amp;Amm</t>
  </si>
  <si>
    <t>EBIT</t>
  </si>
  <si>
    <t>EBIT Margins</t>
  </si>
  <si>
    <t>EBT</t>
  </si>
  <si>
    <t>EBT Margins</t>
  </si>
  <si>
    <t>Net Profit</t>
  </si>
  <si>
    <t>Net Profit Margins</t>
  </si>
  <si>
    <t>Balance Statement</t>
  </si>
  <si>
    <t>Equity</t>
  </si>
  <si>
    <t>Borrowing</t>
  </si>
  <si>
    <t>Non controlling int</t>
  </si>
  <si>
    <t>Trade Payables</t>
  </si>
  <si>
    <t>Advance from Customers</t>
  </si>
  <si>
    <t>Other liability items</t>
  </si>
  <si>
    <t>Other liabilities</t>
  </si>
  <si>
    <t>Total Liabilities</t>
  </si>
  <si>
    <t>Total Non Current Assets</t>
  </si>
  <si>
    <t>Receivables</t>
  </si>
  <si>
    <t>Cash &amp; Bank</t>
  </si>
  <si>
    <t>Total Current Assets</t>
  </si>
  <si>
    <t>Total Assets</t>
  </si>
  <si>
    <t>Cash Flow Statement</t>
  </si>
  <si>
    <t>Cash from Operating activities</t>
  </si>
  <si>
    <t>Profit from operations</t>
  </si>
  <si>
    <t>Payables</t>
  </si>
  <si>
    <t>Loans Advances</t>
  </si>
  <si>
    <t>Operating Deposits</t>
  </si>
  <si>
    <t>Other WC items</t>
  </si>
  <si>
    <t>Working capital changes</t>
  </si>
  <si>
    <t>Direct taxes</t>
  </si>
  <si>
    <t>Other operating items</t>
  </si>
  <si>
    <t>Exceptional CF items</t>
  </si>
  <si>
    <t>Cash flow from Operating activities</t>
  </si>
  <si>
    <t>Cash from investing activities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</si>
  <si>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</si>
  <si>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</si>
  <si>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</si>
  <si>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</si>
  <si>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</si>
  <si>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</si>
  <si>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Invest in subsidiaries</t>
  </si>
  <si>
    <t>Loans to subsidiaries</t>
  </si>
  <si>
    <t>Redemp n Canc of Shares</t>
  </si>
  <si>
    <t>Acquisition of companies</t>
  </si>
  <si>
    <t>Other investing items</t>
  </si>
  <si>
    <t>Cash flow from investing activities</t>
  </si>
  <si>
    <t>Cash flow from Financing activities</t>
  </si>
  <si>
    <t>Proceeds from shares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</si>
  <si>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</si>
  <si>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</si>
  <si>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</si>
  <si>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</si>
  <si>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</si>
  <si>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</si>
  <si>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>NET CASH FLOW</t>
  </si>
  <si>
    <t>Profitability ratio</t>
  </si>
  <si>
    <t>Gross profit margins</t>
  </si>
  <si>
    <t>EBITDA margins</t>
  </si>
  <si>
    <t>Net profit margins</t>
  </si>
  <si>
    <t>return on assets</t>
  </si>
  <si>
    <t>return on equity</t>
  </si>
  <si>
    <t>Solvency Ratio</t>
  </si>
  <si>
    <t>Debt by equity</t>
  </si>
  <si>
    <t>debt ratio</t>
  </si>
  <si>
    <t>Interest coverage ratio</t>
  </si>
  <si>
    <t>Efficiency Ratio</t>
  </si>
  <si>
    <t>Asset turnover ratio</t>
  </si>
  <si>
    <t>inventory turnover ratio</t>
  </si>
  <si>
    <t>Receivable turnover ratio</t>
  </si>
  <si>
    <t>payable turnover ratio</t>
  </si>
  <si>
    <t>Fixed asset turnover ratio</t>
  </si>
  <si>
    <t>capital turnover</t>
  </si>
  <si>
    <t>Liquidity Ratio</t>
  </si>
  <si>
    <t>Current ratio</t>
  </si>
  <si>
    <t>Quick ratio</t>
  </si>
  <si>
    <t>cash ratio</t>
  </si>
  <si>
    <t>Market Ratio</t>
  </si>
  <si>
    <t>Earning per share</t>
  </si>
  <si>
    <t>P/e ratio</t>
  </si>
  <si>
    <t>book value per share</t>
  </si>
  <si>
    <t>Operating cycle ratio</t>
  </si>
  <si>
    <t>in days</t>
  </si>
  <si>
    <t>inventory days</t>
  </si>
  <si>
    <t>receiveable days</t>
  </si>
  <si>
    <t>paybale days</t>
  </si>
  <si>
    <t>Cash coversion cycle</t>
  </si>
  <si>
    <t>WACC Calculation</t>
  </si>
  <si>
    <t>equity(E)</t>
  </si>
  <si>
    <t>Debt(D)</t>
  </si>
  <si>
    <t>Tax Rate</t>
  </si>
  <si>
    <t>Rf</t>
  </si>
  <si>
    <t>Deppriciation</t>
  </si>
  <si>
    <t>Rm</t>
  </si>
  <si>
    <t>Ammortisation</t>
  </si>
  <si>
    <t>ERP</t>
  </si>
  <si>
    <t>Capex</t>
  </si>
  <si>
    <t>Beta</t>
  </si>
  <si>
    <t>Non Cash WC</t>
  </si>
  <si>
    <t>Kd</t>
  </si>
  <si>
    <t>FCF</t>
  </si>
  <si>
    <t>Cost of equity</t>
  </si>
  <si>
    <t>Growth Rate</t>
  </si>
  <si>
    <t>ew</t>
  </si>
  <si>
    <t>WACC</t>
  </si>
  <si>
    <t>dw</t>
  </si>
  <si>
    <t>Terminal Value</t>
  </si>
  <si>
    <t>Discount Factor</t>
  </si>
  <si>
    <t>PV of FCF</t>
  </si>
  <si>
    <t>PV of Terminal Value</t>
  </si>
  <si>
    <t>Enterprise Value</t>
  </si>
  <si>
    <t>Equity Value</t>
  </si>
  <si>
    <t>No of Shares</t>
  </si>
  <si>
    <t>Share Price</t>
  </si>
  <si>
    <t>Sensitivity Analysis — Implied Share Price (₹)</t>
  </si>
  <si>
    <t>Net Debt (₹ Cr)</t>
  </si>
  <si>
    <t>Shares O/S (Cr)</t>
  </si>
  <si>
    <t>WACC ↓ / Growth →</t>
  </si>
  <si>
    <t>Current Market Price (₹)</t>
  </si>
  <si>
    <t>Base Case Verdict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</si>
  <si>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</si>
  <si>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</si>
  <si>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</si>
  <si>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</si>
  <si>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</si>
  <si>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</si>
  <si>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</si>
  <si>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Dividend Amount</t>
  </si>
  <si>
    <t>EBIT `</t>
  </si>
  <si>
    <t>Market Data</t>
  </si>
  <si>
    <t>Financials</t>
  </si>
  <si>
    <t>Valuationa</t>
  </si>
  <si>
    <t>Name</t>
  </si>
  <si>
    <t>share price</t>
  </si>
  <si>
    <t>share outstanding</t>
  </si>
  <si>
    <t>Market cap</t>
  </si>
  <si>
    <t>Net Debt</t>
  </si>
  <si>
    <t>enterprise value</t>
  </si>
  <si>
    <t>revenue</t>
  </si>
  <si>
    <t>Earning/net income</t>
  </si>
  <si>
    <t>EV/Revenue</t>
  </si>
  <si>
    <t>EV/EBITDA</t>
  </si>
  <si>
    <t>P/E</t>
  </si>
  <si>
    <t>NTPC</t>
  </si>
  <si>
    <t>Adani Power</t>
  </si>
  <si>
    <t>JSW Energy</t>
  </si>
  <si>
    <t>High</t>
  </si>
  <si>
    <t>third quartile</t>
  </si>
  <si>
    <t>median</t>
  </si>
  <si>
    <t>average</t>
  </si>
  <si>
    <t>first quartile</t>
  </si>
  <si>
    <t>low</t>
  </si>
  <si>
    <t>implied enterprise value</t>
  </si>
  <si>
    <t>Net debt</t>
  </si>
  <si>
    <t>implied market value</t>
  </si>
  <si>
    <t>shares outstanding</t>
  </si>
  <si>
    <t>implied value per share</t>
  </si>
  <si>
    <t>COMPANY NAME</t>
  </si>
  <si>
    <t>TATA POWER COMPANY LTD</t>
  </si>
  <si>
    <t>LATEST VERSION</t>
  </si>
  <si>
    <t>CURRENT VERSION</t>
  </si>
  <si>
    <t>META</t>
  </si>
  <si>
    <t>Number of shares</t>
  </si>
  <si>
    <t>Face Value</t>
  </si>
  <si>
    <t>Current Price</t>
  </si>
  <si>
    <t>Market Capitalization</t>
  </si>
  <si>
    <t>PROFIT &amp; LOSS</t>
  </si>
  <si>
    <t>Report Date</t>
  </si>
  <si>
    <t>Quarters</t>
  </si>
  <si>
    <t>BALANCE SHEET</t>
  </si>
  <si>
    <t>No. of Equity Shares</t>
  </si>
  <si>
    <t>New Bonus Shares</t>
  </si>
  <si>
    <t>Face value</t>
  </si>
  <si>
    <t>CASH FLOW:</t>
  </si>
  <si>
    <t>PRICE:</t>
  </si>
  <si>
    <t>DERIVED:</t>
  </si>
  <si>
    <t>Adjusted Equity Shares in 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</si>
</sst>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₹ &quot;#,##0.00"/>
    <numFmt numFmtId="165" formatCode="0.0%"/>
    <numFmt numFmtId="166" formatCode="&quot;₹ &quot;#,##0"/>
    <numFmt numFmtId="167" formatCode="0.00\x"/>
    <numFmt numFmtId="168" formatCode="[$-409]mmm\-yy;@"/>
    <numFmt numFmtId="169" formatCode="_ * #,##0.00_ ;_ * \-#,##0.00_ ;_ * \-??_ ;_ @_ "/>
    <numFmt numFmtId="170" formatCode="mmm/yy&quot; A&quot;"/>
    <numFmt numFmtId="171" formatCode="mmm/yy&quot; E&quot;"/>
    <numFmt numFmtId="172" formatCode="&quot;₹ &quot;#,##0.0"/>
    <numFmt numFmtId="173" formatCode="&quot;₹ &quot;#,##0;&quot;₹ (&quot;#,##0\);0"/>
    <numFmt numFmtId="174" formatCode="0.0%;0"/>
    <numFmt numFmtId="175" formatCode="_(* #,##0.00_);_(* \(#,##0.00\);_(* \-??_);_(@_)"/>
    <numFmt numFmtId="176" formatCode="#,##0;\(#,##0\)"/>
    <numFmt numFmtId="177" formatCode="0.0&quot; x&quot;"/>
  </numFmts>
  <fonts count="24" x14ac:knownFonts="1">
    <font>
      <sz val="11"/>
      <color theme="1"/>
      <name val="Calibri"/>
      <family val="2"/>
      <charset val="1"/>
    </font>
    <font>
      <b/>
      <sz val="18"/>
      <color rgb="FFFFFFFF"/>
      <name val="Calibri"/>
      <family val="2"/>
    </font>
    <font>
      <b/>
      <sz val="10"/>
      <color rgb="FF595959"/>
      <name val="Calibri"/>
      <family val="2"/>
    </font>
    <font>
      <b/>
      <sz val="20"/>
      <color rgb="FF1F4E78"/>
      <name val="Calibri"/>
      <family val="2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rgb="FF008000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sz val="11"/>
      <color theme="0"/>
      <name val="Calibri"/>
      <family val="2"/>
      <charset val="1"/>
    </font>
    <font>
      <sz val="11"/>
      <name val="Calibri"/>
      <family val="2"/>
      <charset val="1"/>
    </font>
    <font>
      <b/>
      <sz val="16"/>
      <color theme="1"/>
      <name val="Calibri"/>
      <family val="2"/>
      <charset val="1"/>
    </font>
    <font>
      <b/>
      <u/>
      <sz val="11"/>
      <color theme="10"/>
      <name val="Calibri"/>
      <family val="2"/>
      <charset val="1"/>
    </font>
    <font>
      <i/>
      <sz val="11"/>
      <color theme="0" tint="-0.34998626667073579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theme="7" tint="-0.249977111117893"/>
      <name val="Calibri"/>
      <family val="2"/>
      <charset val="1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008000"/>
      <name val="Calibri"/>
      <family val="2"/>
    </font>
    <font>
      <sz val="11"/>
      <color theme="7" tint="0.39988402966399123"/>
      <name val="Calibri"/>
      <family val="2"/>
      <charset val="1"/>
    </font>
    <font>
      <u/>
      <sz val="11"/>
      <color theme="1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1F4E78"/>
        <bgColor rgb="FF2B4A76"/>
      </patternFill>
    </fill>
    <fill>
      <patternFill patternType="solid">
        <fgColor rgb="FFF2F2F2"/>
        <bgColor rgb="FFFFFFFF"/>
      </patternFill>
    </fill>
    <fill>
      <patternFill patternType="solid">
        <fgColor rgb="FF0275D8"/>
        <bgColor rgb="FF008080"/>
      </patternFill>
    </fill>
    <fill>
      <patternFill patternType="solid">
        <fgColor theme="4" tint="0.39988402966399123"/>
        <bgColor rgb="FF7DA0D0"/>
      </patternFill>
    </fill>
    <fill>
      <patternFill patternType="solid">
        <fgColor theme="6" tint="0.39988402966399123"/>
        <bgColor rgb="FFFF99CC"/>
      </patternFill>
    </fill>
    <fill>
      <patternFill patternType="solid">
        <fgColor theme="7" tint="-0.249977111117893"/>
        <bgColor rgb="FF1F4E78"/>
      </patternFill>
    </fill>
    <fill>
      <patternFill patternType="solid">
        <fgColor theme="7" tint="0.39988402966399123"/>
        <bgColor rgb="FFA6A6A6"/>
      </patternFill>
    </fill>
    <fill>
      <patternFill patternType="solid">
        <fgColor theme="0" tint="-0.14999847407452621"/>
        <bgColor rgb="FFD9E1F2"/>
      </patternFill>
    </fill>
    <fill>
      <patternFill patternType="solid">
        <fgColor theme="0" tint="-0.249977111117893"/>
        <bgColor rgb="FFB3B3B3"/>
      </patternFill>
    </fill>
    <fill>
      <patternFill patternType="solid">
        <fgColor rgb="FFD9E1F2"/>
        <bgColor rgb="FFD9D9D9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169" fontId="23" fillId="0" borderId="0" xfId="0" applyNumberFormat="1" applyFont="1" applyAlignment="1">
      <alignment horizontal="center"/>
    </xf>
    <xf numFmtId="0" fontId="19" fillId="11" borderId="0" xfId="0" applyFont="1" applyFill="1"/>
    <xf numFmtId="167" fontId="6" fillId="0" borderId="1" xfId="0" applyNumberFormat="1" applyFont="1" applyBorder="1" applyAlignment="1">
      <alignment horizontal="right"/>
    </xf>
    <xf numFmtId="165" fontId="6" fillId="0" borderId="1" xfId="0" applyNumberFormat="1" applyFont="1" applyBorder="1" applyAlignment="1">
      <alignment horizontal="right"/>
    </xf>
    <xf numFmtId="0" fontId="5" fillId="0" borderId="1" xfId="0" applyFont="1" applyBorder="1"/>
    <xf numFmtId="0" fontId="4" fillId="2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/>
    </xf>
    <xf numFmtId="165" fontId="3" fillId="3" borderId="0" xfId="0" applyNumberFormat="1" applyFont="1" applyFill="1" applyAlignment="1">
      <alignment horizontal="left" vertical="center"/>
    </xf>
    <xf numFmtId="164" fontId="3" fillId="3" borderId="0" xfId="0" applyNumberFormat="1" applyFont="1" applyFill="1" applyAlignment="1">
      <alignment horizontal="left" vertical="center"/>
    </xf>
    <xf numFmtId="0" fontId="2" fillId="3" borderId="0" xfId="0" applyFont="1" applyFill="1"/>
    <xf numFmtId="0" fontId="1" fillId="2" borderId="0" xfId="0" applyFont="1" applyFill="1" applyAlignment="1">
      <alignment horizontal="left" vertical="center" indent="1"/>
    </xf>
    <xf numFmtId="0" fontId="12" fillId="7" borderId="0" xfId="0" applyFont="1" applyFill="1" applyAlignment="1">
      <alignment horizontal="center"/>
    </xf>
    <xf numFmtId="0" fontId="7" fillId="0" borderId="0" xfId="0" applyFont="1"/>
    <xf numFmtId="165" fontId="8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2" fillId="4" borderId="0" xfId="0" applyFont="1" applyFill="1"/>
    <xf numFmtId="168" fontId="12" fillId="4" borderId="0" xfId="0" applyNumberFormat="1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169" fontId="10" fillId="0" borderId="0" xfId="0" applyNumberFormat="1" applyFont="1"/>
    <xf numFmtId="169" fontId="0" fillId="0" borderId="0" xfId="0" applyNumberFormat="1"/>
    <xf numFmtId="9" fontId="0" fillId="0" borderId="0" xfId="0" applyNumberFormat="1"/>
    <xf numFmtId="169" fontId="12" fillId="5" borderId="0" xfId="0" applyNumberFormat="1" applyFont="1" applyFill="1"/>
    <xf numFmtId="169" fontId="12" fillId="6" borderId="0" xfId="0" applyNumberFormat="1" applyFont="1" applyFill="1"/>
    <xf numFmtId="10" fontId="0" fillId="0" borderId="0" xfId="0" applyNumberFormat="1"/>
    <xf numFmtId="10" fontId="10" fillId="0" borderId="0" xfId="0" applyNumberFormat="1" applyFont="1"/>
    <xf numFmtId="9" fontId="10" fillId="0" borderId="0" xfId="0" applyNumberFormat="1" applyFont="1"/>
    <xf numFmtId="0" fontId="13" fillId="0" borderId="0" xfId="0" applyFont="1"/>
    <xf numFmtId="169" fontId="0" fillId="0" borderId="0" xfId="0" applyNumberFormat="1" applyAlignment="1">
      <alignment horizontal="center"/>
    </xf>
    <xf numFmtId="169" fontId="10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14" fillId="0" borderId="0" xfId="0" applyFont="1"/>
    <xf numFmtId="0" fontId="15" fillId="0" borderId="0" xfId="0" applyFont="1" applyAlignment="1">
      <alignment horizontal="left"/>
    </xf>
    <xf numFmtId="0" fontId="15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2" fillId="7" borderId="0" xfId="0" applyFont="1" applyFill="1" applyAlignment="1">
      <alignment horizontal="center"/>
    </xf>
    <xf numFmtId="0" fontId="12" fillId="7" borderId="0" xfId="0" applyFont="1" applyFill="1" applyAlignment="1">
      <alignment horizontal="left" vertical="center"/>
    </xf>
    <xf numFmtId="170" fontId="12" fillId="7" borderId="0" xfId="0" applyNumberFormat="1" applyFont="1" applyFill="1" applyAlignment="1">
      <alignment horizontal="right"/>
    </xf>
    <xf numFmtId="171" fontId="12" fillId="7" borderId="0" xfId="0" applyNumberFormat="1" applyFont="1" applyFill="1"/>
    <xf numFmtId="0" fontId="10" fillId="8" borderId="0" xfId="0" applyFont="1" applyFill="1" applyAlignment="1">
      <alignment horizontal="left" vertical="center"/>
    </xf>
    <xf numFmtId="0" fontId="0" fillId="8" borderId="0" xfId="0" applyFill="1" applyAlignment="1">
      <alignment horizontal="right"/>
    </xf>
    <xf numFmtId="0" fontId="0" fillId="9" borderId="0" xfId="0" applyFill="1"/>
    <xf numFmtId="172" fontId="0" fillId="0" borderId="0" xfId="0" applyNumberFormat="1" applyAlignment="1">
      <alignment horizontal="right"/>
    </xf>
    <xf numFmtId="172" fontId="0" fillId="9" borderId="0" xfId="0" applyNumberFormat="1" applyFill="1" applyAlignment="1">
      <alignment horizontal="right"/>
    </xf>
    <xf numFmtId="0" fontId="16" fillId="9" borderId="0" xfId="0" applyFont="1" applyFill="1" applyAlignment="1">
      <alignment horizontal="left" vertical="center"/>
    </xf>
    <xf numFmtId="10" fontId="16" fillId="9" borderId="0" xfId="0" applyNumberFormat="1" applyFont="1" applyFill="1" applyAlignment="1">
      <alignment horizontal="right"/>
    </xf>
    <xf numFmtId="0" fontId="10" fillId="0" borderId="2" xfId="0" applyFont="1" applyBorder="1" applyAlignment="1">
      <alignment horizontal="left" vertical="center"/>
    </xf>
    <xf numFmtId="172" fontId="10" fillId="0" borderId="2" xfId="0" applyNumberFormat="1" applyFont="1" applyBorder="1" applyAlignment="1">
      <alignment horizontal="right"/>
    </xf>
    <xf numFmtId="172" fontId="10" fillId="9" borderId="3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3" xfId="0" applyBorder="1" applyAlignment="1">
      <alignment horizontal="left" vertical="center"/>
    </xf>
    <xf numFmtId="164" fontId="0" fillId="0" borderId="3" xfId="0" applyNumberFormat="1" applyBorder="1" applyAlignment="1">
      <alignment horizontal="right"/>
    </xf>
    <xf numFmtId="164" fontId="0" fillId="9" borderId="3" xfId="0" applyNumberFormat="1" applyFill="1" applyBorder="1" applyAlignment="1">
      <alignment horizontal="right"/>
    </xf>
    <xf numFmtId="0" fontId="10" fillId="0" borderId="4" xfId="0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right"/>
    </xf>
    <xf numFmtId="172" fontId="10" fillId="9" borderId="2" xfId="0" applyNumberFormat="1" applyFont="1" applyFill="1" applyBorder="1" applyAlignment="1">
      <alignment horizontal="right"/>
    </xf>
    <xf numFmtId="169" fontId="10" fillId="0" borderId="5" xfId="0" applyNumberFormat="1" applyFont="1" applyBorder="1"/>
    <xf numFmtId="164" fontId="10" fillId="0" borderId="5" xfId="0" applyNumberFormat="1" applyFont="1" applyBorder="1" applyAlignment="1">
      <alignment horizontal="right"/>
    </xf>
    <xf numFmtId="172" fontId="0" fillId="9" borderId="5" xfId="0" applyNumberFormat="1" applyFill="1" applyBorder="1" applyAlignment="1">
      <alignment horizontal="right"/>
    </xf>
    <xf numFmtId="0" fontId="10" fillId="0" borderId="0" xfId="0" applyFont="1" applyAlignment="1">
      <alignment horizontal="left" vertical="center"/>
    </xf>
    <xf numFmtId="164" fontId="10" fillId="0" borderId="0" xfId="0" applyNumberFormat="1" applyFont="1" applyAlignment="1">
      <alignment horizontal="right"/>
    </xf>
    <xf numFmtId="0" fontId="10" fillId="8" borderId="0" xfId="0" applyFont="1" applyFill="1" applyAlignment="1">
      <alignment horizontal="right"/>
    </xf>
    <xf numFmtId="0" fontId="10" fillId="0" borderId="0" xfId="0" applyFont="1" applyAlignment="1">
      <alignment horizontal="right"/>
    </xf>
    <xf numFmtId="0" fontId="17" fillId="0" borderId="0" xfId="0" applyFont="1" applyAlignment="1">
      <alignment horizontal="left" vertical="center"/>
    </xf>
    <xf numFmtId="173" fontId="0" fillId="0" borderId="0" xfId="0" applyNumberFormat="1" applyAlignment="1">
      <alignment vertical="center" wrapText="1"/>
    </xf>
    <xf numFmtId="0" fontId="10" fillId="0" borderId="6" xfId="0" applyFont="1" applyBorder="1" applyAlignment="1">
      <alignment horizontal="left" vertical="center"/>
    </xf>
    <xf numFmtId="173" fontId="10" fillId="0" borderId="6" xfId="0" applyNumberFormat="1" applyFont="1" applyBorder="1" applyAlignment="1">
      <alignment horizontal="right"/>
    </xf>
    <xf numFmtId="172" fontId="10" fillId="9" borderId="6" xfId="0" applyNumberFormat="1" applyFont="1" applyFill="1" applyBorder="1" applyAlignment="1">
      <alignment horizontal="right"/>
    </xf>
    <xf numFmtId="173" fontId="0" fillId="0" borderId="0" xfId="0" applyNumberFormat="1" applyAlignment="1">
      <alignment horizontal="right"/>
    </xf>
    <xf numFmtId="172" fontId="0" fillId="9" borderId="6" xfId="0" applyNumberFormat="1" applyFill="1" applyBorder="1" applyAlignment="1">
      <alignment horizontal="right"/>
    </xf>
    <xf numFmtId="0" fontId="10" fillId="10" borderId="7" xfId="0" applyFont="1" applyFill="1" applyBorder="1" applyAlignment="1">
      <alignment horizontal="left" vertical="center"/>
    </xf>
    <xf numFmtId="173" fontId="10" fillId="10" borderId="7" xfId="0" applyNumberFormat="1" applyFont="1" applyFill="1" applyBorder="1" applyAlignment="1">
      <alignment horizontal="right"/>
    </xf>
    <xf numFmtId="172" fontId="0" fillId="10" borderId="7" xfId="0" applyNumberFormat="1" applyFill="1" applyBorder="1" applyAlignment="1">
      <alignment horizontal="right"/>
    </xf>
    <xf numFmtId="0" fontId="0" fillId="0" borderId="0" xfId="0" applyAlignment="1">
      <alignment wrapText="1"/>
    </xf>
    <xf numFmtId="174" fontId="0" fillId="0" borderId="0" xfId="0" applyNumberFormat="1"/>
    <xf numFmtId="174" fontId="0" fillId="9" borderId="0" xfId="0" applyNumberFormat="1" applyFill="1"/>
    <xf numFmtId="0" fontId="10" fillId="0" borderId="0" xfId="0" applyFont="1" applyAlignment="1">
      <alignment wrapText="1"/>
    </xf>
    <xf numFmtId="1" fontId="0" fillId="0" borderId="0" xfId="0" applyNumberFormat="1"/>
    <xf numFmtId="1" fontId="0" fillId="9" borderId="0" xfId="0" applyNumberFormat="1" applyFill="1"/>
    <xf numFmtId="2" fontId="0" fillId="0" borderId="0" xfId="0" applyNumberFormat="1"/>
    <xf numFmtId="2" fontId="0" fillId="9" borderId="0" xfId="0" applyNumberFormat="1" applyFill="1"/>
    <xf numFmtId="164" fontId="0" fillId="0" borderId="0" xfId="0" applyNumberFormat="1"/>
    <xf numFmtId="172" fontId="0" fillId="0" borderId="0" xfId="0" applyNumberFormat="1"/>
    <xf numFmtId="164" fontId="18" fillId="0" borderId="0" xfId="0" applyNumberFormat="1" applyFont="1" applyAlignment="1">
      <alignment wrapText="1"/>
    </xf>
    <xf numFmtId="10" fontId="18" fillId="0" borderId="0" xfId="0" applyNumberFormat="1" applyFont="1"/>
    <xf numFmtId="173" fontId="0" fillId="0" borderId="0" xfId="0" applyNumberFormat="1"/>
    <xf numFmtId="0" fontId="18" fillId="0" borderId="0" xfId="0" applyFont="1"/>
    <xf numFmtId="3" fontId="0" fillId="0" borderId="0" xfId="0" applyNumberFormat="1"/>
    <xf numFmtId="0" fontId="0" fillId="0" borderId="3" xfId="0" applyBorder="1"/>
    <xf numFmtId="0" fontId="10" fillId="9" borderId="0" xfId="0" applyFont="1" applyFill="1"/>
    <xf numFmtId="9" fontId="0" fillId="9" borderId="0" xfId="0" applyNumberFormat="1" applyFill="1"/>
    <xf numFmtId="175" fontId="10" fillId="9" borderId="0" xfId="0" applyNumberFormat="1" applyFont="1" applyFill="1"/>
    <xf numFmtId="0" fontId="19" fillId="11" borderId="0" xfId="0" applyFont="1" applyFill="1"/>
    <xf numFmtId="0" fontId="19" fillId="0" borderId="0" xfId="0" applyFont="1"/>
    <xf numFmtId="166" fontId="5" fillId="0" borderId="0" xfId="0" applyNumberFormat="1" applyFont="1"/>
    <xf numFmtId="4" fontId="5" fillId="0" borderId="0" xfId="0" applyNumberFormat="1" applyFont="1"/>
    <xf numFmtId="165" fontId="20" fillId="0" borderId="0" xfId="0" applyNumberFormat="1" applyFont="1" applyAlignment="1">
      <alignment horizontal="center"/>
    </xf>
    <xf numFmtId="165" fontId="5" fillId="0" borderId="0" xfId="0" applyNumberFormat="1" applyFont="1"/>
    <xf numFmtId="164" fontId="5" fillId="0" borderId="0" xfId="0" applyNumberFormat="1" applyFont="1"/>
    <xf numFmtId="164" fontId="21" fillId="0" borderId="0" xfId="0" applyNumberFormat="1" applyFont="1"/>
    <xf numFmtId="0" fontId="5" fillId="0" borderId="0" xfId="0" applyFont="1"/>
    <xf numFmtId="0" fontId="12" fillId="0" borderId="0" xfId="0" applyFont="1"/>
    <xf numFmtId="171" fontId="12" fillId="0" borderId="0" xfId="0" applyNumberFormat="1" applyFont="1"/>
    <xf numFmtId="0" fontId="12" fillId="0" borderId="0" xfId="0" applyFont="1" applyAlignment="1">
      <alignment horizontal="left" vertical="center"/>
    </xf>
    <xf numFmtId="170" fontId="12" fillId="0" borderId="0" xfId="0" applyNumberFormat="1" applyFont="1" applyAlignment="1">
      <alignment horizontal="right"/>
    </xf>
    <xf numFmtId="169" fontId="10" fillId="0" borderId="7" xfId="0" applyNumberFormat="1" applyFont="1" applyBorder="1"/>
    <xf numFmtId="0" fontId="10" fillId="0" borderId="7" xfId="0" applyFont="1" applyBorder="1"/>
    <xf numFmtId="0" fontId="12" fillId="7" borderId="0" xfId="0" applyFont="1" applyFill="1"/>
    <xf numFmtId="0" fontId="0" fillId="7" borderId="0" xfId="0" applyFill="1"/>
    <xf numFmtId="0" fontId="12" fillId="7" borderId="8" xfId="0" applyFont="1" applyFill="1" applyBorder="1"/>
    <xf numFmtId="176" fontId="22" fillId="0" borderId="0" xfId="0" applyNumberFormat="1" applyFont="1"/>
    <xf numFmtId="176" fontId="0" fillId="0" borderId="0" xfId="0" applyNumberFormat="1"/>
    <xf numFmtId="177" fontId="0" fillId="0" borderId="0" xfId="0" applyNumberFormat="1"/>
    <xf numFmtId="0" fontId="22" fillId="0" borderId="0" xfId="0" applyFont="1"/>
    <xf numFmtId="176" fontId="22" fillId="0" borderId="0" xfId="0" applyNumberFormat="1" applyFont="1" applyAlignment="1">
      <alignment vertical="center" wrapText="1"/>
    </xf>
    <xf numFmtId="0" fontId="10" fillId="10" borderId="0" xfId="0" applyFont="1" applyFill="1"/>
    <xf numFmtId="168" fontId="12" fillId="4" borderId="0" xfId="0" applyNumberFormat="1" applyFont="1" applyFill="1"/>
    <xf numFmtId="168" fontId="13" fillId="0" borderId="0" xfId="0" applyNumberFormat="1" applyFont="1"/>
    <xf numFmtId="175" fontId="0" fillId="0" borderId="0" xfId="0" applyNumberFormat="1"/>
    <xf numFmtId="0" fontId="4" fillId="2" borderId="0" xfId="0" applyFont="1" applyFill="1" applyAlignment="1">
      <alignment horizontal="center" vertical="center"/>
    </xf>
    <xf numFmtId="169" fontId="12" fillId="0" borderId="0" xfId="0" applyNumberFormat="1" applyFont="1" applyFill="1" applyAlignment="1"/>
  </cellXfs>
  <cellStyles count="1">
    <cellStyle name="Normal" xfId="0" builtinId="0"/>
  </cellStyles>
  <dxfs count="5">
    <dxf>
      <font>
        <b/>
        <color rgb="FFFFFFFF"/>
      </font>
      <fill>
        <patternFill>
          <bgColor theme="5"/>
        </patternFill>
      </fill>
    </dxf>
    <dxf>
      <font>
        <b/>
        <sz val="20"/>
        <color rgb="FFC00000"/>
      </font>
    </dxf>
    <dxf>
      <font>
        <b/>
        <sz val="20"/>
        <color rgb="FF008000"/>
      </font>
    </dxf>
    <dxf>
      <font>
        <b/>
        <sz val="20"/>
        <color rgb="FF008000"/>
      </font>
    </dxf>
    <dxf>
      <font>
        <b/>
        <sz val="20"/>
        <color rgb="FFC0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FBFBF"/>
      <rgbColor rgb="FF808080"/>
      <rgbColor rgb="FF7DA0D0"/>
      <rgbColor rgb="FF7D3C4A"/>
      <rgbColor rgb="FFF2F2F2"/>
      <rgbColor rgb="FFD9E1F2"/>
      <rgbColor rgb="FF660066"/>
      <rgbColor rgb="FFF3A276"/>
      <rgbColor rgb="FF0275D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7ACBE0"/>
      <rgbColor rgb="FFFF99CC"/>
      <rgbColor rgb="FFB3B3B3"/>
      <rgbColor rgb="FFFFCC99"/>
      <rgbColor rgb="FF3366FF"/>
      <rgbColor rgb="FF33CCCC"/>
      <rgbColor rgb="FF99CC00"/>
      <rgbColor rgb="FFFFCC00"/>
      <rgbColor rgb="FFFF8119"/>
      <rgbColor rgb="FFFF6600"/>
      <rgbColor rgb="FF595959"/>
      <rgbColor rgb="FFA6A6A6"/>
      <rgbColor rgb="FF1F4E78"/>
      <rgbColor rgb="FF2DA2BF"/>
      <rgbColor rgb="FF003300"/>
      <rgbColor rgb="FF333300"/>
      <rgbColor rgb="FFDA1F28"/>
      <rgbColor rgb="FF993366"/>
      <rgbColor rgb="FF2B4A7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Revenue vs Net Profit — 10 Year Trend (₹ Cr)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4270239147318"/>
          <c:y val="0.1932312910411062"/>
          <c:w val="0.50503183498031656"/>
          <c:h val="0.401678527003963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'Historical data'!$B$7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2DA2BF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'Historical data'!$C$3:$L$3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'Historical data'!$C$7:$L$7</c:f>
              <c:numCache>
                <c:formatCode>"₹ "#,##0.0</c:formatCode>
                <c:ptCount val="10"/>
                <c:pt idx="0">
                  <c:v>27587.59</c:v>
                </c:pt>
                <c:pt idx="1">
                  <c:v>26840.27</c:v>
                </c:pt>
                <c:pt idx="2">
                  <c:v>29881.06</c:v>
                </c:pt>
                <c:pt idx="3">
                  <c:v>29136.37</c:v>
                </c:pt>
                <c:pt idx="4">
                  <c:v>32703.31</c:v>
                </c:pt>
                <c:pt idx="5">
                  <c:v>42815.67</c:v>
                </c:pt>
                <c:pt idx="6">
                  <c:v>55109.08</c:v>
                </c:pt>
                <c:pt idx="7">
                  <c:v>61448.9</c:v>
                </c:pt>
                <c:pt idx="8">
                  <c:v>65478.239999999998</c:v>
                </c:pt>
                <c:pt idx="9">
                  <c:v>62428.59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E-478B-B346-782C78B09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60234"/>
        <c:axId val="65692429"/>
      </c:barChart>
      <c:lineChart>
        <c:grouping val="standard"/>
        <c:varyColors val="0"/>
        <c:ser>
          <c:idx val="1"/>
          <c:order val="1"/>
          <c:tx>
            <c:strRef>
              <c:f>'Historical data'!$B$32</c:f>
              <c:strCache>
                <c:ptCount val="1"/>
                <c:pt idx="0">
                  <c:v>Net Profit</c:v>
                </c:pt>
              </c:strCache>
            </c:strRef>
          </c:tx>
          <c:spPr>
            <a:ln w="0">
              <a:solidFill>
                <a:srgbClr val="FFFFFF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'Historical data'!$C$3:$L$3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'Historical data'!$C$32:$L$32</c:f>
              <c:numCache>
                <c:formatCode>"₹ "#,##0.0</c:formatCode>
                <c:ptCount val="10"/>
                <c:pt idx="0">
                  <c:v>-197.74000000000154</c:v>
                </c:pt>
                <c:pt idx="1">
                  <c:v>-1262.4699999999996</c:v>
                </c:pt>
                <c:pt idx="2">
                  <c:v>-1218.7099999999962</c:v>
                </c:pt>
                <c:pt idx="3">
                  <c:v>-963.70999999999935</c:v>
                </c:pt>
                <c:pt idx="4">
                  <c:v>-336.31000000000256</c:v>
                </c:pt>
                <c:pt idx="5">
                  <c:v>-329.88999999999675</c:v>
                </c:pt>
                <c:pt idx="6">
                  <c:v>-1730.4199999999946</c:v>
                </c:pt>
                <c:pt idx="7">
                  <c:v>863.77000000000407</c:v>
                </c:pt>
                <c:pt idx="8">
                  <c:v>2086.0399999999963</c:v>
                </c:pt>
                <c:pt idx="9">
                  <c:v>1684.9600000000003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E-478B-B346-782C78B09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34741491"/>
        <c:axId val="31358268"/>
      </c:lineChart>
      <c:dateAx>
        <c:axId val="6546023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Fiscal Year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/yy&quot; A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5692429"/>
        <c:crosses val="autoZero"/>
        <c:auto val="1"/>
        <c:lblOffset val="100"/>
        <c:baseTimeUnit val="years"/>
      </c:dateAx>
      <c:valAx>
        <c:axId val="65692429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Revenue (₹ Cr)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₹ &quot;#,##0.0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5460234"/>
        <c:crosses val="autoZero"/>
        <c:crossBetween val="between"/>
      </c:valAx>
      <c:dateAx>
        <c:axId val="3474149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Fiscal Year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/yy&quot; A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1358268"/>
        <c:crosses val="autoZero"/>
        <c:auto val="1"/>
        <c:lblOffset val="100"/>
        <c:baseTimeUnit val="years"/>
      </c:dateAx>
      <c:valAx>
        <c:axId val="31358268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Net Profit (₹ Cr)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₹ &quot;#,##0.0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741491"/>
        <c:crosses val="max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Margin Trend — 10 Year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'Historical data'!$B$18</c:f>
              <c:strCache>
                <c:ptCount val="1"/>
                <c:pt idx="0">
                  <c:v>EBITDA Margins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'Historical data'!$C$3:$L$3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'Historical data'!$C$18:$L$18</c:f>
              <c:numCache>
                <c:formatCode>0.00%</c:formatCode>
                <c:ptCount val="10"/>
                <c:pt idx="0">
                  <c:v>0.19839609041601672</c:v>
                </c:pt>
                <c:pt idx="1">
                  <c:v>0.186553637500666</c:v>
                </c:pt>
                <c:pt idx="2">
                  <c:v>0.21525374267177949</c:v>
                </c:pt>
                <c:pt idx="3">
                  <c:v>0.23355929376240073</c:v>
                </c:pt>
                <c:pt idx="4">
                  <c:v>0.21162689648234376</c:v>
                </c:pt>
                <c:pt idx="5">
                  <c:v>0.16421300892874041</c:v>
                </c:pt>
                <c:pt idx="6">
                  <c:v>0.14022661964235303</c:v>
                </c:pt>
                <c:pt idx="7">
                  <c:v>0.1747025577349636</c:v>
                </c:pt>
                <c:pt idx="8">
                  <c:v>0.19013324121112596</c:v>
                </c:pt>
                <c:pt idx="9">
                  <c:v>0.21258320907135658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0B5-4BF1-BAF4-E22BEB16F124}"/>
            </c:ext>
          </c:extLst>
        </c:ser>
        <c:ser>
          <c:idx val="1"/>
          <c:order val="1"/>
          <c:tx>
            <c:strRef>
              <c:f>'Ratio Analysis'!$B$9</c:f>
              <c:strCache>
                <c:ptCount val="1"/>
                <c:pt idx="0">
                  <c:v>Net profit margins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'Historical data'!$C$3:$L$3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'Ratio Analysis'!$C$9:$L$9</c:f>
              <c:numCache>
                <c:formatCode>0.0%;0</c:formatCode>
                <c:ptCount val="10"/>
                <c:pt idx="0">
                  <c:v>-7.1677156286577238E-3</c:v>
                </c:pt>
                <c:pt idx="1">
                  <c:v>-4.7036412077821853E-2</c:v>
                </c:pt>
                <c:pt idx="2">
                  <c:v>-4.078536705190499E-2</c:v>
                </c:pt>
                <c:pt idx="3">
                  <c:v>-3.3075843009956266E-2</c:v>
                </c:pt>
                <c:pt idx="4">
                  <c:v>-1.0283668533857966E-2</c:v>
                </c:pt>
                <c:pt idx="5">
                  <c:v>-7.7048893547618609E-3</c:v>
                </c:pt>
                <c:pt idx="6">
                  <c:v>-3.1399907238516676E-2</c:v>
                </c:pt>
                <c:pt idx="7">
                  <c:v>1.4056720299305667E-2</c:v>
                </c:pt>
                <c:pt idx="8">
                  <c:v>3.1858522770312647E-2</c:v>
                </c:pt>
                <c:pt idx="9">
                  <c:v>2.6990197920536092E-2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0B5-4BF1-BAF4-E22BEB16F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638870"/>
        <c:axId val="77752444"/>
      </c:lineChart>
      <c:dateAx>
        <c:axId val="1638870"/>
        <c:scaling>
          <c:orientation val="minMax"/>
        </c:scaling>
        <c:delete val="0"/>
        <c:axPos val="b"/>
        <c:numFmt formatCode="mmm/yy&quot; 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52444"/>
        <c:crosses val="autoZero"/>
        <c:auto val="1"/>
        <c:lblOffset val="100"/>
        <c:baseTimeUnit val="years"/>
      </c:dateAx>
      <c:valAx>
        <c:axId val="777524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8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7</xdr:col>
      <xdr:colOff>251940</xdr:colOff>
      <xdr:row>32</xdr:row>
      <xdr:rowOff>22320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419100</xdr:colOff>
      <xdr:row>16</xdr:row>
      <xdr:rowOff>30480</xdr:rowOff>
    </xdr:from>
    <xdr:to>
      <xdr:col>15</xdr:col>
      <xdr:colOff>111300</xdr:colOff>
      <xdr:row>32</xdr:row>
      <xdr:rowOff>7080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nnual" displayName="Annual" ref="A3:N19" headerRowCount="0" totalsRowShown="0">
  <tableColumns count="14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arters" displayName="Quarters" ref="A3:K14" headerRowCount="0" totalsRowShown="0">
  <tableColumns count="11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Adjacency">
  <a:themeElements>
    <a:clrScheme name="Concourse">
      <a:dk1>
        <a:srgbClr val="000000"/>
      </a:dk1>
      <a:lt1>
        <a:srgbClr val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90000"/>
              </a:schemeClr>
            </a:gs>
            <a:gs pos="75000">
              <a:schemeClr val="phClr">
                <a:shade val="100000"/>
              </a:schemeClr>
            </a:gs>
            <a:gs pos="100000">
              <a:schemeClr val="phClr">
                <a:shade val="70000"/>
              </a:schemeClr>
            </a:gs>
          </a:gsLst>
          <a:path path="circle">
            <a:fillToRect l="20000" t="50000" r="100000" b="50000"/>
          </a:path>
          <a:tileRect/>
        </a:gradFill>
        <a:blipFill rotWithShape="1">
          <a:srcRect/>
          <a:tile tx="0" ty="0" sx="32000" sy="32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www.screener.in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://www.screener.i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excel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creener.in/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17"/>
  <sheetViews>
    <sheetView showGridLines="0" topLeftCell="A7" zoomScaleNormal="100" workbookViewId="0">
      <selection activeCell="Q19" sqref="Q19"/>
    </sheetView>
  </sheetViews>
  <sheetFormatPr defaultColWidth="8.6640625" defaultRowHeight="14.4" x14ac:dyDescent="0.3"/>
  <cols>
    <col min="1" max="1" width="3" customWidth="1"/>
    <col min="2" max="5" width="14" customWidth="1"/>
    <col min="6" max="6" width="11.44140625" bestFit="1" customWidth="1"/>
    <col min="7" max="10" width="16" customWidth="1"/>
  </cols>
  <sheetData>
    <row r="2" spans="2:11" x14ac:dyDescent="0.3">
      <c r="B2" s="11" t="str">
        <f>Data!B1&amp;" — Investment Dashboard"</f>
        <v>TATA POWER COMPANY LTD — Investment Dashboard</v>
      </c>
      <c r="C2" s="11"/>
      <c r="D2" s="11"/>
      <c r="E2" s="11"/>
      <c r="F2" s="11"/>
      <c r="G2" s="11"/>
      <c r="H2" s="11"/>
      <c r="I2" s="11"/>
      <c r="J2" s="11"/>
    </row>
    <row r="3" spans="2:11" x14ac:dyDescent="0.3">
      <c r="B3" s="11"/>
      <c r="C3" s="11"/>
      <c r="D3" s="11"/>
      <c r="E3" s="11"/>
      <c r="F3" s="11"/>
      <c r="G3" s="11"/>
      <c r="H3" s="11"/>
      <c r="I3" s="11"/>
      <c r="J3" s="11"/>
    </row>
    <row r="5" spans="2:11" x14ac:dyDescent="0.3">
      <c r="B5" s="10" t="s">
        <v>0</v>
      </c>
      <c r="C5" s="10"/>
      <c r="D5" s="10" t="s">
        <v>1</v>
      </c>
      <c r="E5" s="10"/>
      <c r="F5" s="10" t="s">
        <v>2</v>
      </c>
      <c r="G5" s="10"/>
      <c r="H5" s="10" t="s">
        <v>3</v>
      </c>
      <c r="I5" s="10"/>
    </row>
    <row r="6" spans="2:11" x14ac:dyDescent="0.3">
      <c r="B6" s="9">
        <f>Data!B8</f>
        <v>378.5</v>
      </c>
      <c r="C6" s="9"/>
      <c r="D6" s="9">
        <f>'DCF Modelling'!F27</f>
        <v>109.55563558410324</v>
      </c>
      <c r="E6" s="9"/>
      <c r="F6" s="8">
        <f>('DCF Modelling'!F27/Data!B8)-1</f>
        <v>-0.71055314244622658</v>
      </c>
      <c r="G6" s="8"/>
      <c r="H6" s="7" t="str">
        <f>'DCF Modelling'!C40</f>
        <v>OVERVALUED</v>
      </c>
      <c r="I6" s="7"/>
    </row>
    <row r="7" spans="2:11" x14ac:dyDescent="0.3">
      <c r="B7" s="9"/>
      <c r="C7" s="9"/>
      <c r="D7" s="9"/>
      <c r="E7" s="9"/>
      <c r="F7" s="8"/>
      <c r="G7" s="8"/>
      <c r="H7" s="7"/>
      <c r="I7" s="7"/>
    </row>
    <row r="9" spans="2:11" ht="15.6" x14ac:dyDescent="0.3">
      <c r="B9" s="6" t="s">
        <v>4</v>
      </c>
      <c r="C9" s="6"/>
      <c r="D9" s="6"/>
      <c r="E9" s="6"/>
      <c r="F9" s="124" t="s">
        <v>5</v>
      </c>
      <c r="G9" s="124"/>
      <c r="H9" s="124"/>
      <c r="I9" s="124"/>
      <c r="J9" s="124"/>
      <c r="K9" s="124"/>
    </row>
    <row r="10" spans="2:11" x14ac:dyDescent="0.3">
      <c r="B10" s="5" t="s">
        <v>6</v>
      </c>
      <c r="C10" s="5"/>
      <c r="D10" s="4">
        <f>'Ratio Analysis'!L9</f>
        <v>2.6990197920536092E-2</v>
      </c>
      <c r="E10" s="4"/>
      <c r="F10" s="13" t="s">
        <v>7</v>
      </c>
      <c r="G10" s="14">
        <f>'DCF Modelling'!C32</f>
        <v>0.02</v>
      </c>
      <c r="H10" s="14">
        <f>'DCF Modelling'!D32</f>
        <v>0.03</v>
      </c>
      <c r="I10" s="14">
        <f>'DCF Modelling'!E32</f>
        <v>0.04</v>
      </c>
      <c r="J10" s="14">
        <f>'DCF Modelling'!F32</f>
        <v>0.05</v>
      </c>
      <c r="K10" s="14">
        <f>'DCF Modelling'!G32</f>
        <v>0.06</v>
      </c>
    </row>
    <row r="11" spans="2:11" x14ac:dyDescent="0.3">
      <c r="B11" s="5" t="s">
        <v>8</v>
      </c>
      <c r="C11" s="5"/>
      <c r="D11" s="4">
        <f>'Ratio Analysis'!L11</f>
        <v>4.2692655498070428E-2</v>
      </c>
      <c r="E11" s="4"/>
      <c r="F11" s="14">
        <f>'DCF Modelling'!B33</f>
        <v>7.1261558284851492E-2</v>
      </c>
      <c r="G11" s="15">
        <f>'DCF Modelling'!C33</f>
        <v>84.460142854026984</v>
      </c>
      <c r="H11" s="15">
        <f>'DCF Modelling'!D33</f>
        <v>133.85376445852035</v>
      </c>
      <c r="I11" s="15">
        <f>'DCF Modelling'!E33</f>
        <v>214.84761606717714</v>
      </c>
      <c r="J11" s="15">
        <f>'DCF Modelling'!F33</f>
        <v>372.02953491299741</v>
      </c>
      <c r="K11" s="15">
        <f>'DCF Modelling'!G33</f>
        <v>808.3591789137879</v>
      </c>
    </row>
    <row r="12" spans="2:11" x14ac:dyDescent="0.3">
      <c r="B12" s="5" t="s">
        <v>9</v>
      </c>
      <c r="C12" s="5"/>
      <c r="D12" s="3">
        <f>'Ratio Analysis'!L14</f>
        <v>1.9292285925455588</v>
      </c>
      <c r="E12" s="3"/>
      <c r="F12" s="14">
        <f>'DCF Modelling'!B34</f>
        <v>7.6261558284851483E-2</v>
      </c>
      <c r="G12" s="15">
        <f>'DCF Modelling'!C34</f>
        <v>56.69673809640485</v>
      </c>
      <c r="H12" s="15">
        <f>'DCF Modelling'!D34</f>
        <v>95.189184682572758</v>
      </c>
      <c r="I12" s="15">
        <f>'DCF Modelling'!E34</f>
        <v>154.91207386792061</v>
      </c>
      <c r="J12" s="15">
        <f>'DCF Modelling'!F34</f>
        <v>260.11808978744853</v>
      </c>
      <c r="K12" s="15">
        <f>'DCF Modelling'!G34</f>
        <v>494.71639896282392</v>
      </c>
    </row>
    <row r="13" spans="2:11" x14ac:dyDescent="0.3">
      <c r="B13" s="5" t="s">
        <v>10</v>
      </c>
      <c r="C13" s="5"/>
      <c r="D13" s="3">
        <f>'Ratio Analysis'!L16</f>
        <v>1.6093813905444199</v>
      </c>
      <c r="E13" s="3"/>
      <c r="F13" s="14">
        <f>'DCF Modelling'!B35</f>
        <v>8.1261558284851487E-2</v>
      </c>
      <c r="G13" s="15">
        <f>'DCF Modelling'!C35</f>
        <v>33.52520489440203</v>
      </c>
      <c r="H13" s="15">
        <f>'DCF Modelling'!D35</f>
        <v>64.124489741469716</v>
      </c>
      <c r="I13" s="15">
        <f>'DCF Modelling'!E35</f>
        <v>109.55563558410324</v>
      </c>
      <c r="J13" s="15">
        <f>'DCF Modelling'!F35</f>
        <v>184.05196456870971</v>
      </c>
      <c r="K13" s="15">
        <f>'DCF Modelling'!G35</f>
        <v>328.62436980938605</v>
      </c>
    </row>
    <row r="14" spans="2:11" x14ac:dyDescent="0.3">
      <c r="B14" s="5" t="s">
        <v>11</v>
      </c>
      <c r="C14" s="5"/>
      <c r="D14" s="3">
        <f>'Ratio Analysis'!L27</f>
        <v>1.9932570740517759</v>
      </c>
      <c r="E14" s="3"/>
      <c r="F14" s="14">
        <f>'DCF Modelling'!B36</f>
        <v>8.6261558284851492E-2</v>
      </c>
      <c r="G14" s="15">
        <f>'DCF Modelling'!C36</f>
        <v>13.904950419260206</v>
      </c>
      <c r="H14" s="15">
        <f>'DCF Modelling'!D36</f>
        <v>38.632716843957283</v>
      </c>
      <c r="I14" s="15">
        <f>'DCF Modelling'!E36</f>
        <v>74.050899822475571</v>
      </c>
      <c r="J14" s="15">
        <f>'DCF Modelling'!F36</f>
        <v>129.0039206037666</v>
      </c>
      <c r="K14" s="15">
        <f>'DCF Modelling'!G36</f>
        <v>225.80748215284572</v>
      </c>
    </row>
    <row r="15" spans="2:11" x14ac:dyDescent="0.3">
      <c r="B15" s="5" t="s">
        <v>12</v>
      </c>
      <c r="C15" s="5"/>
      <c r="D15" s="3">
        <f>'Ratio Analysis'!L33</f>
        <v>71.824843022979763</v>
      </c>
      <c r="E15" s="3"/>
      <c r="F15" s="14">
        <f>'DCF Modelling'!B37</f>
        <v>9.1261558284851482E-2</v>
      </c>
      <c r="G15" s="15">
        <f>'DCF Modelling'!C37</f>
        <v>-2.9125663505392336</v>
      </c>
      <c r="H15" s="15">
        <f>'DCF Modelling'!D37</f>
        <v>17.348622396670461</v>
      </c>
      <c r="I15" s="15">
        <f>'DCF Modelling'!E37</f>
        <v>45.514833708594914</v>
      </c>
      <c r="J15" s="15">
        <f>'DCF Modelling'!F37</f>
        <v>87.333564451548924</v>
      </c>
      <c r="K15" s="15">
        <f>'DCF Modelling'!G37</f>
        <v>155.90638746457248</v>
      </c>
    </row>
    <row r="17" ht="3.75" customHeight="1" x14ac:dyDescent="0.3"/>
  </sheetData>
  <mergeCells count="23">
    <mergeCell ref="B13:C13"/>
    <mergeCell ref="D13:E13"/>
    <mergeCell ref="B14:C14"/>
    <mergeCell ref="D14:E14"/>
    <mergeCell ref="B15:C15"/>
    <mergeCell ref="D15:E15"/>
    <mergeCell ref="B10:C10"/>
    <mergeCell ref="D10:E10"/>
    <mergeCell ref="B11:C11"/>
    <mergeCell ref="D11:E11"/>
    <mergeCell ref="B12:C12"/>
    <mergeCell ref="D12:E12"/>
    <mergeCell ref="B6:C7"/>
    <mergeCell ref="D6:E7"/>
    <mergeCell ref="F6:G7"/>
    <mergeCell ref="H6:I7"/>
    <mergeCell ref="B9:E9"/>
    <mergeCell ref="F9:K9"/>
    <mergeCell ref="B2:J3"/>
    <mergeCell ref="B5:C5"/>
    <mergeCell ref="D5:E5"/>
    <mergeCell ref="F5:G5"/>
    <mergeCell ref="H5:I5"/>
  </mergeCells>
  <conditionalFormatting sqref="F6:G7">
    <cfRule type="expression" dxfId="4" priority="4">
      <formula>$F$6&lt;0</formula>
    </cfRule>
    <cfRule type="expression" dxfId="3" priority="5">
      <formula>$F$6&gt;=0</formula>
    </cfRule>
  </conditionalFormatting>
  <conditionalFormatting sqref="G11:K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:I7">
    <cfRule type="expression" dxfId="2" priority="2">
      <formula>$H$6="UNDERVALUED"</formula>
    </cfRule>
    <cfRule type="expression" dxfId="1" priority="3">
      <formula>$H$6="OVERVALUED"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N25"/>
  <sheetViews>
    <sheetView zoomScale="120" zoomScaleNormal="120" workbookViewId="0">
      <pane xSplit="1" ySplit="4" topLeftCell="C5" activePane="bottomRight" state="frozen"/>
      <selection pane="topRight" activeCell="C1" sqref="C1"/>
      <selection pane="bottomLeft" activeCell="A5" sqref="A5"/>
      <selection pane="bottomRight" activeCell="M15" sqref="M15"/>
    </sheetView>
  </sheetViews>
  <sheetFormatPr defaultColWidth="8.77734375" defaultRowHeight="14.4" x14ac:dyDescent="0.3"/>
  <cols>
    <col min="1" max="1" width="20.6640625" customWidth="1"/>
    <col min="2" max="6" width="13.44140625" customWidth="1"/>
    <col min="7" max="7" width="14.77734375" customWidth="1"/>
    <col min="8" max="11" width="13.44140625" customWidth="1"/>
    <col min="12" max="12" width="13.33203125" customWidth="1"/>
    <col min="13" max="14" width="12.109375" customWidth="1"/>
  </cols>
  <sheetData>
    <row r="1" spans="1:14" s="16" customFormat="1" ht="14.25" customHeight="1" x14ac:dyDescent="0.3">
      <c r="A1" s="16" t="str">
        <f>Data!B1</f>
        <v>TATA POWER COMPANY LTD</v>
      </c>
      <c r="H1" s="16" t="str">
        <f>UPDATE</f>
        <v/>
      </c>
      <c r="J1" s="17"/>
      <c r="K1" s="17"/>
      <c r="M1" s="16" t="s">
        <v>13</v>
      </c>
    </row>
    <row r="3" spans="1:14" s="16" customFormat="1" ht="14.25" customHeight="1" x14ac:dyDescent="0.3">
      <c r="A3" s="18" t="s">
        <v>14</v>
      </c>
      <c r="B3" s="19">
        <f>Data!B16</f>
        <v>42825</v>
      </c>
      <c r="C3" s="19">
        <f>Data!C16</f>
        <v>43190</v>
      </c>
      <c r="D3" s="19">
        <f>Data!D16</f>
        <v>43555</v>
      </c>
      <c r="E3" s="19">
        <f>Data!E16</f>
        <v>43921</v>
      </c>
      <c r="F3" s="19">
        <f>Data!F16</f>
        <v>44286</v>
      </c>
      <c r="G3" s="19">
        <f>Data!G16</f>
        <v>44651</v>
      </c>
      <c r="H3" s="19">
        <f>Data!H16</f>
        <v>45016</v>
      </c>
      <c r="I3" s="19">
        <f>Data!I16</f>
        <v>45382</v>
      </c>
      <c r="J3" s="19">
        <f>Data!J16</f>
        <v>45747</v>
      </c>
      <c r="K3" s="19">
        <f>Data!K16</f>
        <v>46112</v>
      </c>
      <c r="L3" s="20" t="s">
        <v>15</v>
      </c>
      <c r="M3" s="20" t="s">
        <v>16</v>
      </c>
      <c r="N3" s="20" t="s">
        <v>17</v>
      </c>
    </row>
    <row r="4" spans="1:14" s="16" customFormat="1" ht="14.25" customHeight="1" x14ac:dyDescent="0.3">
      <c r="A4" s="16" t="s">
        <v>18</v>
      </c>
      <c r="B4" s="21">
        <f>Data!B17</f>
        <v>27587.59</v>
      </c>
      <c r="C4" s="21">
        <f>Data!C17</f>
        <v>26840.27</v>
      </c>
      <c r="D4" s="21">
        <f>Data!D17</f>
        <v>29881.06</v>
      </c>
      <c r="E4" s="21">
        <f>Data!E17</f>
        <v>29136.37</v>
      </c>
      <c r="F4" s="21">
        <f>Data!F17</f>
        <v>32703.31</v>
      </c>
      <c r="G4" s="21">
        <f>Data!G17</f>
        <v>42815.67</v>
      </c>
      <c r="H4" s="21">
        <f>Data!H17</f>
        <v>55109.08</v>
      </c>
      <c r="I4" s="21">
        <f>Data!I17</f>
        <v>61448.9</v>
      </c>
      <c r="J4" s="21">
        <f>Data!J17</f>
        <v>65478.239999999998</v>
      </c>
      <c r="K4" s="21">
        <f>Data!K17</f>
        <v>62428.59</v>
      </c>
      <c r="L4" s="21">
        <f>SUM(Quarters!H4:K4)</f>
        <v>62428.59</v>
      </c>
      <c r="M4" s="21">
        <f>$K4+M23*K4</f>
        <v>65078.417125460888</v>
      </c>
      <c r="N4" s="21">
        <f>$K4+N23*L4</f>
        <v>62428.59</v>
      </c>
    </row>
    <row r="5" spans="1:14" ht="14.25" customHeight="1" x14ac:dyDescent="0.3">
      <c r="A5" t="s">
        <v>19</v>
      </c>
      <c r="B5" s="22">
        <f>SUM(Data!B18,Data!B20:B24, -1*Data!B19)</f>
        <v>22114.32</v>
      </c>
      <c r="C5" s="22">
        <f>SUM(Data!C18,Data!C20:C24, -1*Data!C19)</f>
        <v>21833.119999999999</v>
      </c>
      <c r="D5" s="22">
        <f>SUM(Data!D18,Data!D20:D24, -1*Data!D19)</f>
        <v>23449.049999999996</v>
      </c>
      <c r="E5" s="22">
        <f>SUM(Data!E18,Data!E20:E24, -1*Data!E19)</f>
        <v>22331.299999999996</v>
      </c>
      <c r="F5" s="22">
        <f>SUM(Data!F18,Data!F20:F24, -1*Data!F19)</f>
        <v>25782.410000000003</v>
      </c>
      <c r="G5" s="22">
        <f>SUM(Data!G18,Data!G20:G24, -1*Data!G19)</f>
        <v>35784.78</v>
      </c>
      <c r="H5" s="22">
        <f>SUM(Data!H18,Data!H20:H24, -1*Data!H19)</f>
        <v>47381.32</v>
      </c>
      <c r="I5" s="22">
        <f>SUM(Data!I18,Data!I20:I24, -1*Data!I19)</f>
        <v>50713.62</v>
      </c>
      <c r="J5" s="22">
        <f>SUM(Data!J18,Data!J20:J24, -1*Data!J19)</f>
        <v>53028.65</v>
      </c>
      <c r="K5" s="22">
        <f>SUM(Data!K18,Data!K20:K24, -1*Data!K19)</f>
        <v>49157.32</v>
      </c>
      <c r="L5" s="22">
        <f>SUM(Quarters!H5:K5)</f>
        <v>49907.37</v>
      </c>
      <c r="M5" s="22">
        <f>M4-M6</f>
        <v>52025.724792033798</v>
      </c>
      <c r="N5" s="22">
        <f>N4-N6</f>
        <v>51299.163013362755</v>
      </c>
    </row>
    <row r="6" spans="1:14" s="16" customFormat="1" ht="14.25" customHeight="1" x14ac:dyDescent="0.3">
      <c r="A6" s="16" t="s">
        <v>20</v>
      </c>
      <c r="B6" s="21">
        <f t="shared" ref="B6:K6" si="0">B4-B5</f>
        <v>5473.27</v>
      </c>
      <c r="C6" s="21">
        <f t="shared" si="0"/>
        <v>5007.1500000000015</v>
      </c>
      <c r="D6" s="21">
        <f t="shared" si="0"/>
        <v>6432.0100000000057</v>
      </c>
      <c r="E6" s="21">
        <f t="shared" si="0"/>
        <v>6805.0700000000033</v>
      </c>
      <c r="F6" s="21">
        <f t="shared" si="0"/>
        <v>6920.8999999999978</v>
      </c>
      <c r="G6" s="21">
        <f t="shared" si="0"/>
        <v>7030.8899999999994</v>
      </c>
      <c r="H6" s="21">
        <f t="shared" si="0"/>
        <v>7727.760000000002</v>
      </c>
      <c r="I6" s="21">
        <f t="shared" si="0"/>
        <v>10735.279999999999</v>
      </c>
      <c r="J6" s="21">
        <f t="shared" si="0"/>
        <v>12449.589999999997</v>
      </c>
      <c r="K6" s="21">
        <f t="shared" si="0"/>
        <v>13271.269999999997</v>
      </c>
      <c r="L6" s="21">
        <f>SUM(Quarters!H6:K6)</f>
        <v>12521.22</v>
      </c>
      <c r="M6" s="21">
        <f>M4*M24</f>
        <v>13052.692333427094</v>
      </c>
      <c r="N6" s="21">
        <f>N4*N24</f>
        <v>11129.42698663724</v>
      </c>
    </row>
    <row r="7" spans="1:14" ht="14.25" customHeight="1" x14ac:dyDescent="0.3">
      <c r="A7" t="s">
        <v>21</v>
      </c>
      <c r="B7" s="22">
        <f>Data!B25</f>
        <v>1297.3699999999999</v>
      </c>
      <c r="C7" s="22">
        <f>Data!C25</f>
        <v>3873.32</v>
      </c>
      <c r="D7" s="22">
        <f>Data!D25</f>
        <v>3824.37</v>
      </c>
      <c r="E7" s="22">
        <f>Data!E25</f>
        <v>2280.15</v>
      </c>
      <c r="F7" s="22">
        <f>Data!F25</f>
        <v>1774.96</v>
      </c>
      <c r="G7" s="22">
        <f>Data!G25</f>
        <v>2485.5</v>
      </c>
      <c r="H7" s="22">
        <f>Data!H25</f>
        <v>5540.09</v>
      </c>
      <c r="I7" s="22">
        <f>Data!I25</f>
        <v>3416.33</v>
      </c>
      <c r="J7" s="22">
        <f>Data!J25</f>
        <v>2689.33</v>
      </c>
      <c r="K7" s="22">
        <f>Data!K25</f>
        <v>3432.6</v>
      </c>
      <c r="L7" s="22">
        <f>SUM(Quarters!H7:K7)</f>
        <v>4182.6499999999996</v>
      </c>
      <c r="M7" s="22">
        <v>0</v>
      </c>
      <c r="N7" s="22">
        <v>0</v>
      </c>
    </row>
    <row r="8" spans="1:14" ht="14.25" customHeight="1" x14ac:dyDescent="0.3">
      <c r="A8" t="s">
        <v>22</v>
      </c>
      <c r="B8" s="22">
        <f>Data!B26</f>
        <v>1955.59</v>
      </c>
      <c r="C8" s="22">
        <f>Data!C26</f>
        <v>2346.17</v>
      </c>
      <c r="D8" s="22">
        <f>Data!D26</f>
        <v>2393.13</v>
      </c>
      <c r="E8" s="22">
        <f>Data!E26</f>
        <v>2633.56</v>
      </c>
      <c r="F8" s="22">
        <f>Data!F26</f>
        <v>2744.94</v>
      </c>
      <c r="G8" s="22">
        <f>Data!G26</f>
        <v>3122.2</v>
      </c>
      <c r="H8" s="22">
        <f>Data!H26</f>
        <v>3439.2</v>
      </c>
      <c r="I8" s="22">
        <f>Data!I26</f>
        <v>3786.37</v>
      </c>
      <c r="J8" s="22">
        <f>Data!J26</f>
        <v>4116.8599999999997</v>
      </c>
      <c r="K8" s="22">
        <f>Data!K26</f>
        <v>4811.09</v>
      </c>
      <c r="L8" s="22">
        <f>SUM(Quarters!H8:K8)</f>
        <v>4811.09</v>
      </c>
      <c r="M8" s="22">
        <f>+$L8</f>
        <v>4811.09</v>
      </c>
      <c r="N8" s="22">
        <f>+$L8</f>
        <v>4811.09</v>
      </c>
    </row>
    <row r="9" spans="1:14" ht="14.25" customHeight="1" x14ac:dyDescent="0.3">
      <c r="A9" t="s">
        <v>23</v>
      </c>
      <c r="B9" s="22">
        <f>Data!B27</f>
        <v>3364.96</v>
      </c>
      <c r="C9" s="22">
        <f>Data!C27</f>
        <v>3761.48</v>
      </c>
      <c r="D9" s="22">
        <f>Data!D27</f>
        <v>4170</v>
      </c>
      <c r="E9" s="22">
        <f>Data!E27</f>
        <v>4493.7299999999996</v>
      </c>
      <c r="F9" s="22">
        <f>Data!F27</f>
        <v>4010.39</v>
      </c>
      <c r="G9" s="22">
        <f>Data!G27</f>
        <v>3859.02</v>
      </c>
      <c r="H9" s="22">
        <f>Data!H27</f>
        <v>4371.6499999999996</v>
      </c>
      <c r="I9" s="22">
        <f>Data!I27</f>
        <v>4633.22</v>
      </c>
      <c r="J9" s="22">
        <f>Data!J27</f>
        <v>4702.4399999999996</v>
      </c>
      <c r="K9" s="22">
        <f>Data!K27</f>
        <v>5256.79</v>
      </c>
      <c r="L9" s="22">
        <f>SUM(Quarters!H9:K9)</f>
        <v>5256.79</v>
      </c>
      <c r="M9" s="22">
        <f>+$L9</f>
        <v>5256.79</v>
      </c>
      <c r="N9" s="22">
        <f>+$L9</f>
        <v>5256.79</v>
      </c>
    </row>
    <row r="10" spans="1:14" ht="14.25" customHeight="1" x14ac:dyDescent="0.3">
      <c r="A10" t="s">
        <v>24</v>
      </c>
      <c r="B10" s="22">
        <f>Data!B28</f>
        <v>1450.09</v>
      </c>
      <c r="C10" s="22">
        <f>Data!C28</f>
        <v>2772.82</v>
      </c>
      <c r="D10" s="22">
        <f>Data!D28</f>
        <v>3693.25</v>
      </c>
      <c r="E10" s="22">
        <f>Data!E28</f>
        <v>1957.93</v>
      </c>
      <c r="F10" s="22">
        <f>Data!F28</f>
        <v>1940.53</v>
      </c>
      <c r="G10" s="22">
        <f>Data!G28</f>
        <v>2535.17</v>
      </c>
      <c r="H10" s="22">
        <f>Data!H28</f>
        <v>5457</v>
      </c>
      <c r="I10" s="22">
        <f>Data!I28</f>
        <v>5732.02</v>
      </c>
      <c r="J10" s="22">
        <f>Data!J28</f>
        <v>6319.62</v>
      </c>
      <c r="K10" s="22">
        <f>Data!K28</f>
        <v>6635.99</v>
      </c>
      <c r="L10" s="22">
        <f>SUM(Quarters!H10:K10)</f>
        <v>6635.99</v>
      </c>
      <c r="M10" s="22">
        <f>M6+M7-SUM(M8:M9)</f>
        <v>2984.8123334270931</v>
      </c>
      <c r="N10" s="22">
        <f>N6+N7-SUM(N8:N9)</f>
        <v>1061.5469866372387</v>
      </c>
    </row>
    <row r="11" spans="1:14" ht="14.25" customHeight="1" x14ac:dyDescent="0.3">
      <c r="A11" t="s">
        <v>25</v>
      </c>
      <c r="B11" s="22">
        <f>Data!B29</f>
        <v>350.46</v>
      </c>
      <c r="C11" s="22">
        <f>Data!C29</f>
        <v>161.97</v>
      </c>
      <c r="D11" s="22">
        <f>Data!D29</f>
        <v>1087.5899999999999</v>
      </c>
      <c r="E11" s="22">
        <f>Data!E29</f>
        <v>641.49</v>
      </c>
      <c r="F11" s="22">
        <f>Data!F29</f>
        <v>501.88</v>
      </c>
      <c r="G11" s="22">
        <f>Data!G29</f>
        <v>379.56</v>
      </c>
      <c r="H11" s="22">
        <f>Data!H29</f>
        <v>1647.33</v>
      </c>
      <c r="I11" s="22">
        <f>Data!I29</f>
        <v>1451.92</v>
      </c>
      <c r="J11" s="22">
        <f>Data!J29</f>
        <v>1544.25</v>
      </c>
      <c r="K11" s="22">
        <f>Data!K29</f>
        <v>1518.43</v>
      </c>
      <c r="L11" s="22">
        <f>SUM(Quarters!H11:K11)</f>
        <v>1518.43</v>
      </c>
      <c r="M11" s="23">
        <f>IF($L10&gt;0,$L11/$L10,0)</f>
        <v>0.22881740328119846</v>
      </c>
      <c r="N11" s="23">
        <f>IF($L10&gt;0,$L11/$L10,0)</f>
        <v>0.22881740328119846</v>
      </c>
    </row>
    <row r="12" spans="1:14" s="16" customFormat="1" ht="14.25" customHeight="1" x14ac:dyDescent="0.3">
      <c r="A12" s="16" t="s">
        <v>26</v>
      </c>
      <c r="B12" s="21">
        <f>Data!B30</f>
        <v>896.55</v>
      </c>
      <c r="C12" s="21">
        <f>Data!C30</f>
        <v>2408.3000000000002</v>
      </c>
      <c r="D12" s="21">
        <f>Data!D30</f>
        <v>2356.19</v>
      </c>
      <c r="E12" s="21">
        <f>Data!E30</f>
        <v>1017.38</v>
      </c>
      <c r="F12" s="21">
        <f>Data!F30</f>
        <v>1127.3800000000001</v>
      </c>
      <c r="G12" s="21">
        <f>Data!G30</f>
        <v>1741.46</v>
      </c>
      <c r="H12" s="21">
        <f>Data!H30</f>
        <v>3336.44</v>
      </c>
      <c r="I12" s="21">
        <f>Data!I30</f>
        <v>3696.25</v>
      </c>
      <c r="J12" s="21">
        <f>Data!J30</f>
        <v>3971</v>
      </c>
      <c r="K12" s="21">
        <f>Data!K30</f>
        <v>3747.19</v>
      </c>
      <c r="L12" s="21">
        <f>SUM(Quarters!H12:K12)</f>
        <v>3747.1899999999996</v>
      </c>
      <c r="M12" s="21">
        <f>M10-M11*M10</f>
        <v>2301.835326010611</v>
      </c>
      <c r="N12" s="21">
        <f>N10-N11*N10</f>
        <v>818.6465616939247</v>
      </c>
    </row>
    <row r="13" spans="1:14" ht="14.25" customHeight="1" x14ac:dyDescent="0.3">
      <c r="A13" t="s">
        <v>27</v>
      </c>
      <c r="B13" s="22">
        <f>IF(Data!B93&gt;0,B12/Data!B93,0)</f>
        <v>3.314662821650399</v>
      </c>
      <c r="C13" s="22">
        <f>IF(Data!C93&gt;0,C12/Data!C93,0)</f>
        <v>8.9038006506950609</v>
      </c>
      <c r="D13" s="22">
        <f>IF(Data!D93&gt;0,D12/Data!D93,0)</f>
        <v>8.7111431529133387</v>
      </c>
      <c r="E13" s="22">
        <f>IF(Data!E93&gt;0,E12/Data!E93,0)</f>
        <v>3.7613871635610763</v>
      </c>
      <c r="F13" s="22">
        <f>IF(Data!F93&gt;0,F12/Data!F93,0)</f>
        <v>3.5282446092698656</v>
      </c>
      <c r="G13" s="22">
        <f>IF(Data!G93&gt;0,G12/Data!G93,0)</f>
        <v>5.4500672863267932</v>
      </c>
      <c r="H13" s="22">
        <f>IF(Data!H93&gt;0,H12/Data!H93,0)</f>
        <v>10.441711263418146</v>
      </c>
      <c r="I13" s="22">
        <f>IF(Data!I93&gt;0,I12/Data!I93,0)</f>
        <v>11.567771414264703</v>
      </c>
      <c r="J13" s="22">
        <f>IF(Data!J93&gt;0,J12/Data!J93,0)</f>
        <v>12.427628078740652</v>
      </c>
      <c r="K13" s="22">
        <f>IF(Data!K93&gt;0,K12/Data!K93,0)</f>
        <v>11.727193064813946</v>
      </c>
      <c r="L13" s="22">
        <f>IF(Data!$B6&gt;0,'Profit &amp; Loss'!L12/Data!$B6,0)</f>
        <v>11.727039376754584</v>
      </c>
      <c r="M13" s="22">
        <f>IF(Data!$B6&gt;0,'Profit &amp; Loss'!M12/Data!$B6,0)</f>
        <v>7.2037215905601704</v>
      </c>
      <c r="N13" s="22">
        <f>IF(Data!$B6&gt;0,'Profit &amp; Loss'!N12/Data!$B6,0)</f>
        <v>2.5619999158381099</v>
      </c>
    </row>
    <row r="14" spans="1:14" ht="14.25" customHeight="1" x14ac:dyDescent="0.3">
      <c r="A14" t="s">
        <v>28</v>
      </c>
      <c r="B14" s="22">
        <f t="shared" ref="B14:K14" si="1">IF(B15&gt;0,B15/B13,"")</f>
        <v>27.257674418604651</v>
      </c>
      <c r="C14" s="22">
        <f t="shared" si="1"/>
        <v>8.8726155379313205</v>
      </c>
      <c r="D14" s="22">
        <f t="shared" si="1"/>
        <v>8.471907613562573</v>
      </c>
      <c r="E14" s="22">
        <f t="shared" si="1"/>
        <v>8.7334801155910284</v>
      </c>
      <c r="F14" s="22">
        <f t="shared" si="1"/>
        <v>29.263844045485989</v>
      </c>
      <c r="G14" s="22">
        <f t="shared" si="1"/>
        <v>43.788450208445781</v>
      </c>
      <c r="H14" s="22">
        <f t="shared" si="1"/>
        <v>18.220193529630382</v>
      </c>
      <c r="I14" s="22">
        <f t="shared" si="1"/>
        <v>34.077436861684134</v>
      </c>
      <c r="J14" s="22">
        <f t="shared" si="1"/>
        <v>30.206890455804579</v>
      </c>
      <c r="K14" s="22">
        <f t="shared" si="1"/>
        <v>32.296731017108819</v>
      </c>
      <c r="L14" s="22">
        <f>IF(L13&gt;0,L15/L13,0)</f>
        <v>32.275836026462507</v>
      </c>
      <c r="M14" s="22">
        <f>M25</f>
        <v>32.275836026462507</v>
      </c>
      <c r="N14" s="22">
        <f>N25</f>
        <v>24.860459984573797</v>
      </c>
    </row>
    <row r="15" spans="1:14" s="16" customFormat="1" ht="14.25" customHeight="1" x14ac:dyDescent="0.3">
      <c r="A15" s="16" t="s">
        <v>29</v>
      </c>
      <c r="B15" s="21">
        <f>Data!B90</f>
        <v>90.35</v>
      </c>
      <c r="C15" s="21">
        <f>Data!C90</f>
        <v>79</v>
      </c>
      <c r="D15" s="21">
        <f>Data!D90</f>
        <v>73.8</v>
      </c>
      <c r="E15" s="21">
        <f>Data!E90</f>
        <v>32.85</v>
      </c>
      <c r="F15" s="21">
        <f>Data!F90</f>
        <v>103.25</v>
      </c>
      <c r="G15" s="21">
        <f>Data!G90</f>
        <v>238.65</v>
      </c>
      <c r="H15" s="21">
        <f>Data!H90</f>
        <v>190.25</v>
      </c>
      <c r="I15" s="21">
        <f>Data!I90</f>
        <v>394.2</v>
      </c>
      <c r="J15" s="21">
        <f>Data!J90</f>
        <v>375.4</v>
      </c>
      <c r="K15" s="21">
        <f>Data!K90</f>
        <v>378.75</v>
      </c>
      <c r="L15" s="21">
        <f>Data!B8</f>
        <v>378.5</v>
      </c>
      <c r="M15" s="24">
        <f>M13*M14</f>
        <v>232.50613683720775</v>
      </c>
      <c r="N15" s="25">
        <f>N13*N14</f>
        <v>63.692496388174767</v>
      </c>
    </row>
    <row r="17" spans="1:14" s="16" customFormat="1" ht="14.25" customHeight="1" x14ac:dyDescent="0.3">
      <c r="A17" s="16" t="s">
        <v>30</v>
      </c>
    </row>
    <row r="18" spans="1:14" ht="14.25" customHeight="1" x14ac:dyDescent="0.3">
      <c r="A18" t="s">
        <v>31</v>
      </c>
      <c r="B18" s="26">
        <f>IF(Data!B30&gt;0, Data!B31/Data!B30, 0)</f>
        <v>0.39222575428029671</v>
      </c>
      <c r="C18" s="26">
        <f>IF(Data!C30&gt;0, Data!C31/Data!C30, 0)</f>
        <v>0.14601586181123613</v>
      </c>
      <c r="D18" s="26">
        <f>IF(Data!D30&gt;0, Data!D31/Data!D30, 0)</f>
        <v>0.14924517971810422</v>
      </c>
      <c r="E18" s="26">
        <f>IF(Data!E30&gt;0, Data!E31/Data!E30, 0)</f>
        <v>0.41211739959503824</v>
      </c>
      <c r="F18" s="26">
        <f>IF(Data!F30&gt;0, Data!F31/Data!F30, 0)</f>
        <v>0.43935496460820661</v>
      </c>
      <c r="G18" s="26">
        <f>IF(Data!G30&gt;0, Data!G31/Data!G30, 0)</f>
        <v>0.3211271002492162</v>
      </c>
      <c r="H18" s="26">
        <f>IF(Data!H30&gt;0, Data!H31/Data!H30, 0)</f>
        <v>0.19155746843941446</v>
      </c>
      <c r="I18" s="26">
        <f>IF(Data!I30&gt;0, Data!I31/Data!I30, 0)</f>
        <v>0.17291038214406493</v>
      </c>
      <c r="J18" s="26">
        <f>IF(Data!J30&gt;0, Data!J31/Data!J30, 0)</f>
        <v>0.18106522286577689</v>
      </c>
      <c r="K18" s="26">
        <f>IF(Data!K30&gt;0, Data!K31/Data!K30, 0)</f>
        <v>0.21319975768509203</v>
      </c>
    </row>
    <row r="19" spans="1:14" ht="14.25" customHeight="1" x14ac:dyDescent="0.3">
      <c r="A19" t="s">
        <v>32</v>
      </c>
      <c r="B19" s="26">
        <f t="shared" ref="B19:L19" si="2">IF(B6&gt;0,B6/B4,0)</f>
        <v>0.19839609041601677</v>
      </c>
      <c r="C19" s="26">
        <f t="shared" si="2"/>
        <v>0.18655363750066603</v>
      </c>
      <c r="D19" s="26">
        <f t="shared" si="2"/>
        <v>0.21525374267177957</v>
      </c>
      <c r="E19" s="26">
        <f t="shared" si="2"/>
        <v>0.23355929376240087</v>
      </c>
      <c r="F19" s="26">
        <f t="shared" si="2"/>
        <v>0.21162689648234376</v>
      </c>
      <c r="G19" s="26">
        <f t="shared" si="2"/>
        <v>0.16421300892874033</v>
      </c>
      <c r="H19" s="26">
        <f t="shared" si="2"/>
        <v>0.14022661964235297</v>
      </c>
      <c r="I19" s="26">
        <f t="shared" si="2"/>
        <v>0.17470255773496349</v>
      </c>
      <c r="J19" s="26">
        <f t="shared" si="2"/>
        <v>0.19013324121112596</v>
      </c>
      <c r="K19" s="26">
        <f t="shared" si="2"/>
        <v>0.21258320907135653</v>
      </c>
      <c r="L19" s="26">
        <f t="shared" si="2"/>
        <v>0.20056868175302373</v>
      </c>
    </row>
    <row r="20" spans="1:14" ht="14.25" customHeight="1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4" ht="14.25" customHeight="1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4" s="16" customFormat="1" ht="14.25" customHeight="1" x14ac:dyDescent="0.3">
      <c r="A22" s="18"/>
      <c r="B22" s="19"/>
      <c r="C22" s="19"/>
      <c r="D22" s="19"/>
      <c r="E22" s="19"/>
      <c r="F22" s="19"/>
      <c r="G22" s="19" t="s">
        <v>33</v>
      </c>
      <c r="H22" s="19" t="s">
        <v>34</v>
      </c>
      <c r="I22" s="19" t="s">
        <v>35</v>
      </c>
      <c r="J22" s="19" t="s">
        <v>36</v>
      </c>
      <c r="K22" s="19" t="s">
        <v>37</v>
      </c>
      <c r="L22" s="20" t="s">
        <v>38</v>
      </c>
      <c r="M22" s="20" t="s">
        <v>39</v>
      </c>
      <c r="N22" s="20" t="s">
        <v>40</v>
      </c>
    </row>
    <row r="23" spans="1:14" s="16" customFormat="1" ht="14.25" customHeight="1" x14ac:dyDescent="0.3">
      <c r="G23" s="16" t="s">
        <v>41</v>
      </c>
      <c r="H23" s="26">
        <f>IF(B4=0,"",POWER($K4/B4,1/9)-1)</f>
        <v>9.4983945006545278E-2</v>
      </c>
      <c r="I23" s="26">
        <f>IF(D4=0,"",POWER($K4/D4,1/7)-1)</f>
        <v>0.11099602168292577</v>
      </c>
      <c r="J23" s="26">
        <f>IF(F4=0,"",POWER($K4/F4,1/5)-1)</f>
        <v>0.13804219076199797</v>
      </c>
      <c r="K23" s="26">
        <f>IF(H4=0,"",POWER($K4/H4, 1/3)-1)</f>
        <v>4.244573080155889E-2</v>
      </c>
      <c r="L23" s="26">
        <f>IF(ISERROR(MAX(IF(J4=0,"",(K4-J4)/J4),IF(K4=0,"",(L4-K4)/K4))),"",MAX(IF(J4=0,"",(K4-J4)/J4),IF(K4=0,"",(L4-K4)/K4)))</f>
        <v>0</v>
      </c>
      <c r="M23" s="27">
        <f>MAX(K23:L23)</f>
        <v>4.244573080155889E-2</v>
      </c>
      <c r="N23" s="27">
        <f>MIN(H23:L23)</f>
        <v>0</v>
      </c>
    </row>
    <row r="24" spans="1:14" ht="14.25" customHeight="1" x14ac:dyDescent="0.3">
      <c r="G24" t="s">
        <v>32</v>
      </c>
      <c r="H24" s="26">
        <f>IF(SUM(B4:$K$4)=0,"",SUMPRODUCT(B19:$K$19,B4:$K$4)/SUM(B4:$K$4))</f>
        <v>0.18885024973405104</v>
      </c>
      <c r="I24" s="26">
        <f>IF(SUM(E4:$K$4)=0,"",SUMPRODUCT(E19:$K$19,E4:$K$4)/SUM(E4:$K$4))</f>
        <v>0.18601263244150665</v>
      </c>
      <c r="J24" s="26">
        <f>IF(SUM(G4:$K$4)=0,"",SUMPRODUCT(G19:$K$19,G4:$K$4)/SUM(G4:$K$4))</f>
        <v>0.1782745211230502</v>
      </c>
      <c r="K24" s="26">
        <f>IF(SUM(I4:$K$4)=0, "", SUMPRODUCT(I19:$K$19,I4:$K$4)/SUM(I4:$K$4))</f>
        <v>0.19252726072773185</v>
      </c>
      <c r="L24" s="26">
        <f>L19</f>
        <v>0.20056868175302373</v>
      </c>
      <c r="M24" s="27">
        <f>MAX(K24:L24)</f>
        <v>0.20056868175302373</v>
      </c>
      <c r="N24" s="27">
        <f>MIN(H24:L24)</f>
        <v>0.1782745211230502</v>
      </c>
    </row>
    <row r="25" spans="1:14" ht="14.25" customHeight="1" x14ac:dyDescent="0.3">
      <c r="G25" t="s">
        <v>42</v>
      </c>
      <c r="H25" s="22">
        <f>IF(ISERROR(AVERAGEIF(B14:$L14,"&gt;0")),"",AVERAGEIF(B14:$L14,"&gt;0"))</f>
        <v>24.860459984573797</v>
      </c>
      <c r="I25" s="22">
        <f>IF(ISERROR(AVERAGEIF(E14:$L14,"&gt;0")),"",AVERAGEIF(E14:$L14,"&gt;0"))</f>
        <v>28.607857782526651</v>
      </c>
      <c r="J25" s="22">
        <f>IF(ISERROR(AVERAGEIF(G14:$L14,"&gt;0")),"",AVERAGEIF(G14:$L14,"&gt;0"))</f>
        <v>31.810923016522704</v>
      </c>
      <c r="K25" s="22">
        <f>IF(ISERROR(AVERAGEIF(I14:$L14,"&gt;0")),"",AVERAGEIF(I14:$L14,"&gt;0"))</f>
        <v>32.214223590265014</v>
      </c>
      <c r="L25" s="22">
        <f>L14</f>
        <v>32.275836026462507</v>
      </c>
      <c r="M25" s="21">
        <f>MAX(K25:L25)</f>
        <v>32.275836026462507</v>
      </c>
      <c r="N25" s="21">
        <f>MIN(H25:L25)</f>
        <v>24.860459984573797</v>
      </c>
    </row>
  </sheetData>
  <hyperlinks>
    <hyperlink ref="M1" r:id="rId1" xr:uid="{00000000-0004-0000-0100-000000000000}"/>
  </hyperlinks>
  <printOptions gridLines="1"/>
  <pageMargins left="0.7" right="0.7" top="0.75" bottom="0.75" header="0.511811023622047" footer="0.511811023622047"/>
  <pageSetup paperSize="9" orientation="landscape" horizontalDpi="300" verticalDpi="30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K22"/>
  <sheetViews>
    <sheetView zoomScale="150" zoomScaleNormal="150" workbookViewId="0">
      <pane xSplit="1" ySplit="3" topLeftCell="D4" activePane="bottomRight" state="frozen"/>
      <selection pane="topRight" activeCell="D1" sqref="D1"/>
      <selection pane="bottomLeft" activeCell="A4" sqref="A4"/>
      <selection pane="bottomRight" activeCell="K5" sqref="K5"/>
    </sheetView>
  </sheetViews>
  <sheetFormatPr defaultColWidth="8.77734375" defaultRowHeight="14.4" x14ac:dyDescent="0.3"/>
  <cols>
    <col min="1" max="1" width="20.6640625" customWidth="1"/>
    <col min="2" max="11" width="13.44140625" customWidth="1"/>
  </cols>
  <sheetData>
    <row r="1" spans="1:11" s="16" customFormat="1" ht="14.25" customHeight="1" x14ac:dyDescent="0.3">
      <c r="A1" s="16" t="str">
        <f>'Profit &amp; Loss'!A1</f>
        <v>TATA POWER COMPANY LTD</v>
      </c>
      <c r="E1" s="16" t="str">
        <f>UPDATE</f>
        <v/>
      </c>
      <c r="J1" s="16" t="s">
        <v>13</v>
      </c>
    </row>
    <row r="3" spans="1:11" s="16" customFormat="1" ht="14.25" customHeight="1" x14ac:dyDescent="0.3">
      <c r="A3" s="18" t="s">
        <v>14</v>
      </c>
      <c r="B3" s="19">
        <f>Data!B41</f>
        <v>45291</v>
      </c>
      <c r="C3" s="19">
        <f>Data!C41</f>
        <v>45382</v>
      </c>
      <c r="D3" s="19">
        <f>Data!D41</f>
        <v>45473</v>
      </c>
      <c r="E3" s="19">
        <f>Data!E41</f>
        <v>45565</v>
      </c>
      <c r="F3" s="19">
        <f>Data!F41</f>
        <v>45657</v>
      </c>
      <c r="G3" s="19">
        <f>Data!G41</f>
        <v>45747</v>
      </c>
      <c r="H3" s="19">
        <f>Data!H41</f>
        <v>45838</v>
      </c>
      <c r="I3" s="19">
        <f>Data!I41</f>
        <v>45930</v>
      </c>
      <c r="J3" s="19">
        <f>Data!J41</f>
        <v>46022</v>
      </c>
      <c r="K3" s="19">
        <f>Data!K41</f>
        <v>46112</v>
      </c>
    </row>
    <row r="4" spans="1:11" s="16" customFormat="1" ht="14.25" customHeight="1" x14ac:dyDescent="0.3">
      <c r="A4" s="16" t="s">
        <v>18</v>
      </c>
      <c r="B4" s="21">
        <f>Data!B42</f>
        <v>14651</v>
      </c>
      <c r="C4" s="21">
        <f>Data!C42</f>
        <v>15846.58</v>
      </c>
      <c r="D4" s="21">
        <f>Data!D42</f>
        <v>17293.62</v>
      </c>
      <c r="E4" s="21">
        <f>Data!E42</f>
        <v>15697.67</v>
      </c>
      <c r="F4" s="21">
        <f>Data!F42</f>
        <v>15391.06</v>
      </c>
      <c r="G4" s="21">
        <f>Data!G42</f>
        <v>17095.88</v>
      </c>
      <c r="H4" s="21">
        <f>Data!H42</f>
        <v>18035.07</v>
      </c>
      <c r="I4" s="21">
        <f>Data!I42</f>
        <v>15544.91</v>
      </c>
      <c r="J4" s="21">
        <f>Data!J42</f>
        <v>13948.41</v>
      </c>
      <c r="K4" s="21">
        <f>Data!K42</f>
        <v>14900.2</v>
      </c>
    </row>
    <row r="5" spans="1:11" ht="14.25" customHeight="1" x14ac:dyDescent="0.3">
      <c r="A5" t="s">
        <v>19</v>
      </c>
      <c r="B5" s="22">
        <f>Data!B43</f>
        <v>12233.58</v>
      </c>
      <c r="C5" s="22">
        <f>Data!C43</f>
        <v>13539.69</v>
      </c>
      <c r="D5" s="22">
        <f>Data!D43</f>
        <v>14231.87</v>
      </c>
      <c r="E5" s="22">
        <f>Data!E43</f>
        <v>12426.76</v>
      </c>
      <c r="F5" s="22">
        <f>Data!F43</f>
        <v>12312.03</v>
      </c>
      <c r="G5" s="22">
        <f>Data!G43</f>
        <v>13850.28</v>
      </c>
      <c r="H5" s="22">
        <f>Data!H43</f>
        <v>14469.9</v>
      </c>
      <c r="I5" s="22">
        <f>Data!I43</f>
        <v>12242.96</v>
      </c>
      <c r="J5" s="22">
        <f>Data!J43</f>
        <v>10893.5</v>
      </c>
      <c r="K5" s="22">
        <f>Data!K43</f>
        <v>12301.01</v>
      </c>
    </row>
    <row r="6" spans="1:11" s="16" customFormat="1" ht="14.25" customHeight="1" x14ac:dyDescent="0.3">
      <c r="A6" s="16" t="s">
        <v>20</v>
      </c>
      <c r="B6" s="21">
        <f>Data!B50</f>
        <v>2417.42</v>
      </c>
      <c r="C6" s="21">
        <f>Data!C50</f>
        <v>2306.89</v>
      </c>
      <c r="D6" s="21">
        <f>Data!D50</f>
        <v>3061.75</v>
      </c>
      <c r="E6" s="21">
        <f>Data!E50</f>
        <v>3270.91</v>
      </c>
      <c r="F6" s="21">
        <f>Data!F50</f>
        <v>3079.03</v>
      </c>
      <c r="G6" s="21">
        <f>Data!G50</f>
        <v>3245.6</v>
      </c>
      <c r="H6" s="21">
        <f>Data!H50</f>
        <v>3565.17</v>
      </c>
      <c r="I6" s="21">
        <f>Data!I50</f>
        <v>3301.95</v>
      </c>
      <c r="J6" s="21">
        <f>Data!J50</f>
        <v>3054.91</v>
      </c>
      <c r="K6" s="21">
        <f>Data!K50</f>
        <v>2599.19</v>
      </c>
    </row>
    <row r="7" spans="1:11" ht="14.25" customHeight="1" x14ac:dyDescent="0.3">
      <c r="A7" t="s">
        <v>21</v>
      </c>
      <c r="B7" s="22">
        <f>Data!B44</f>
        <v>1091.8699999999999</v>
      </c>
      <c r="C7" s="22">
        <f>Data!C44</f>
        <v>1406.63</v>
      </c>
      <c r="D7" s="22">
        <f>Data!D44</f>
        <v>577.72</v>
      </c>
      <c r="E7" s="22">
        <f>Data!E44</f>
        <v>631.75</v>
      </c>
      <c r="F7" s="22">
        <f>Data!F44</f>
        <v>588.54999999999995</v>
      </c>
      <c r="G7" s="22">
        <f>Data!G44</f>
        <v>683.58</v>
      </c>
      <c r="H7" s="22">
        <f>Data!H44</f>
        <v>494.42</v>
      </c>
      <c r="I7" s="22">
        <f>Data!I44</f>
        <v>858.65</v>
      </c>
      <c r="J7" s="22">
        <f>Data!J44</f>
        <v>1056.28</v>
      </c>
      <c r="K7" s="22">
        <f>Data!K44</f>
        <v>1773.3</v>
      </c>
    </row>
    <row r="8" spans="1:11" ht="14.25" customHeight="1" x14ac:dyDescent="0.3">
      <c r="A8" t="s">
        <v>22</v>
      </c>
      <c r="B8" s="22">
        <f>Data!B45</f>
        <v>926.27</v>
      </c>
      <c r="C8" s="22">
        <f>Data!C45</f>
        <v>1040.77</v>
      </c>
      <c r="D8" s="22">
        <f>Data!D45</f>
        <v>972.89</v>
      </c>
      <c r="E8" s="22">
        <f>Data!E45</f>
        <v>986.69</v>
      </c>
      <c r="F8" s="22">
        <f>Data!F45</f>
        <v>1040.99</v>
      </c>
      <c r="G8" s="22">
        <f>Data!G45</f>
        <v>1116.28</v>
      </c>
      <c r="H8" s="22">
        <f>Data!H45</f>
        <v>1160.9100000000001</v>
      </c>
      <c r="I8" s="22">
        <f>Data!I45</f>
        <v>1162.05</v>
      </c>
      <c r="J8" s="22">
        <f>Data!J45</f>
        <v>1207.9000000000001</v>
      </c>
      <c r="K8" s="22">
        <f>Data!K45</f>
        <v>1280.23</v>
      </c>
    </row>
    <row r="9" spans="1:11" ht="14.25" customHeight="1" x14ac:dyDescent="0.3">
      <c r="A9" t="s">
        <v>23</v>
      </c>
      <c r="B9" s="22">
        <f>Data!B46</f>
        <v>1094.26</v>
      </c>
      <c r="C9" s="22">
        <f>Data!C46</f>
        <v>1135.72</v>
      </c>
      <c r="D9" s="22">
        <f>Data!D46</f>
        <v>1176.24</v>
      </c>
      <c r="E9" s="22">
        <f>Data!E46</f>
        <v>1143.0999999999999</v>
      </c>
      <c r="F9" s="22">
        <f>Data!F46</f>
        <v>1169.9000000000001</v>
      </c>
      <c r="G9" s="22">
        <f>Data!G46</f>
        <v>1213.21</v>
      </c>
      <c r="H9" s="22">
        <f>Data!H46</f>
        <v>1279.22</v>
      </c>
      <c r="I9" s="22">
        <f>Data!I46</f>
        <v>1318.65</v>
      </c>
      <c r="J9" s="22">
        <f>Data!J46</f>
        <v>1363.66</v>
      </c>
      <c r="K9" s="22">
        <f>Data!K46</f>
        <v>1295.26</v>
      </c>
    </row>
    <row r="10" spans="1:11" ht="14.25" customHeight="1" x14ac:dyDescent="0.3">
      <c r="A10" t="s">
        <v>24</v>
      </c>
      <c r="B10" s="22">
        <f>Data!B47</f>
        <v>1488.76</v>
      </c>
      <c r="C10" s="22">
        <f>Data!C47</f>
        <v>1537.03</v>
      </c>
      <c r="D10" s="22">
        <f>Data!D47</f>
        <v>1490.34</v>
      </c>
      <c r="E10" s="22">
        <f>Data!E47</f>
        <v>1772.87</v>
      </c>
      <c r="F10" s="22">
        <f>Data!F47</f>
        <v>1456.69</v>
      </c>
      <c r="G10" s="22">
        <f>Data!G47</f>
        <v>1599.69</v>
      </c>
      <c r="H10" s="22">
        <f>Data!H47</f>
        <v>1619.46</v>
      </c>
      <c r="I10" s="22">
        <f>Data!I47</f>
        <v>1679.9</v>
      </c>
      <c r="J10" s="22">
        <f>Data!J47</f>
        <v>1539.63</v>
      </c>
      <c r="K10" s="22">
        <f>Data!K47</f>
        <v>1797</v>
      </c>
    </row>
    <row r="11" spans="1:11" ht="14.25" customHeight="1" x14ac:dyDescent="0.3">
      <c r="A11" t="s">
        <v>25</v>
      </c>
      <c r="B11" s="22">
        <f>Data!B48</f>
        <v>412.64</v>
      </c>
      <c r="C11" s="22">
        <f>Data!C48</f>
        <v>491.44</v>
      </c>
      <c r="D11" s="22">
        <f>Data!D48</f>
        <v>301.70999999999998</v>
      </c>
      <c r="E11" s="22">
        <f>Data!E48</f>
        <v>679.79</v>
      </c>
      <c r="F11" s="22">
        <f>Data!F48</f>
        <v>269.14999999999998</v>
      </c>
      <c r="G11" s="22">
        <f>Data!G48</f>
        <v>293.60000000000002</v>
      </c>
      <c r="H11" s="22">
        <f>Data!H48</f>
        <v>357.14</v>
      </c>
      <c r="I11" s="22">
        <f>Data!I48</f>
        <v>434.51</v>
      </c>
      <c r="J11" s="22">
        <f>Data!J48</f>
        <v>345.3</v>
      </c>
      <c r="K11" s="22">
        <f>Data!K48</f>
        <v>381.48</v>
      </c>
    </row>
    <row r="12" spans="1:11" s="16" customFormat="1" ht="14.25" customHeight="1" x14ac:dyDescent="0.3">
      <c r="A12" s="16" t="s">
        <v>26</v>
      </c>
      <c r="B12" s="21">
        <f>Data!B49</f>
        <v>953.01</v>
      </c>
      <c r="C12" s="21">
        <f>Data!C49</f>
        <v>895.21</v>
      </c>
      <c r="D12" s="21">
        <f>Data!D49</f>
        <v>970.91</v>
      </c>
      <c r="E12" s="21">
        <f>Data!E49</f>
        <v>926.53</v>
      </c>
      <c r="F12" s="21">
        <f>Data!F49</f>
        <v>1030.7</v>
      </c>
      <c r="G12" s="21">
        <f>Data!G49</f>
        <v>1042.83</v>
      </c>
      <c r="H12" s="21">
        <f>Data!H49</f>
        <v>1059.8599999999999</v>
      </c>
      <c r="I12" s="21">
        <f>Data!I49</f>
        <v>919.44</v>
      </c>
      <c r="J12" s="21">
        <f>Data!J49</f>
        <v>771.98</v>
      </c>
      <c r="K12" s="21">
        <f>Data!K49</f>
        <v>995.91</v>
      </c>
    </row>
    <row r="14" spans="1:11" s="16" customFormat="1" ht="14.25" customHeight="1" x14ac:dyDescent="0.3">
      <c r="A14" s="16" t="s">
        <v>32</v>
      </c>
      <c r="B14" s="28">
        <f t="shared" ref="B14:K14" si="0">IF(B4&gt;0,B6/B4,"")</f>
        <v>0.16500034127363319</v>
      </c>
      <c r="C14" s="28">
        <f t="shared" si="0"/>
        <v>0.14557652187412046</v>
      </c>
      <c r="D14" s="28">
        <f t="shared" si="0"/>
        <v>0.17704506054834096</v>
      </c>
      <c r="E14" s="28">
        <f t="shared" si="0"/>
        <v>0.20836914013353572</v>
      </c>
      <c r="F14" s="28">
        <f t="shared" si="0"/>
        <v>0.20005314773641322</v>
      </c>
      <c r="G14" s="28">
        <f t="shared" si="0"/>
        <v>0.18984691048369548</v>
      </c>
      <c r="H14" s="28">
        <f t="shared" si="0"/>
        <v>0.19767985375160729</v>
      </c>
      <c r="I14" s="28">
        <f t="shared" si="0"/>
        <v>0.21241358103713689</v>
      </c>
      <c r="J14" s="28">
        <f t="shared" si="0"/>
        <v>0.21901492714940268</v>
      </c>
      <c r="K14" s="28">
        <f t="shared" si="0"/>
        <v>0.17443994040348451</v>
      </c>
    </row>
    <row r="22" s="29" customFormat="1" ht="14.25" customHeight="1" x14ac:dyDescent="0.3"/>
  </sheetData>
  <hyperlinks>
    <hyperlink ref="J1" r:id="rId1" xr:uid="{00000000-0004-0000-0200-000000000000}"/>
  </hyperlinks>
  <printOptions gridLines="1"/>
  <pageMargins left="0.7" right="0.7" top="0.75" bottom="0.75" header="0.511811023622047" footer="0.511811023622047"/>
  <pageSetup paperSize="9" orientation="landscape" horizontalDpi="300" verticalDpi="30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K24"/>
  <sheetViews>
    <sheetView zoomScale="125" zoomScaleNormal="125" workbookViewId="0">
      <pane xSplit="1" ySplit="3" topLeftCell="E4" activePane="bottomRight" state="frozen"/>
      <selection pane="topRight" activeCell="E1" sqref="E1"/>
      <selection pane="bottomLeft" activeCell="A4" sqref="A4"/>
      <selection pane="bottomRight" activeCell="K24" sqref="K24"/>
    </sheetView>
  </sheetViews>
  <sheetFormatPr defaultColWidth="8.77734375" defaultRowHeight="14.4" x14ac:dyDescent="0.3"/>
  <cols>
    <col min="1" max="1" width="22.77734375" customWidth="1"/>
    <col min="2" max="2" width="13.44140625" customWidth="1"/>
    <col min="3" max="11" width="15.44140625" customWidth="1"/>
  </cols>
  <sheetData>
    <row r="1" spans="1:11" s="16" customFormat="1" ht="14.25" customHeight="1" x14ac:dyDescent="0.3">
      <c r="A1" s="16" t="str">
        <f>'Profit &amp; Loss'!A1</f>
        <v>TATA POWER COMPANY LTD</v>
      </c>
      <c r="E1" s="16" t="str">
        <f>UPDATE</f>
        <v/>
      </c>
      <c r="J1" s="16" t="s">
        <v>13</v>
      </c>
    </row>
    <row r="2" spans="1:11" ht="14.25" customHeight="1" x14ac:dyDescent="0.3">
      <c r="G2" s="16"/>
      <c r="H2" s="16"/>
    </row>
    <row r="3" spans="1:11" ht="14.25" customHeight="1" x14ac:dyDescent="0.3">
      <c r="A3" s="18" t="s">
        <v>14</v>
      </c>
      <c r="B3" s="19">
        <f>Data!B56</f>
        <v>42825</v>
      </c>
      <c r="C3" s="19">
        <f>Data!C56</f>
        <v>43190</v>
      </c>
      <c r="D3" s="19">
        <f>Data!D56</f>
        <v>43555</v>
      </c>
      <c r="E3" s="19">
        <f>Data!E56</f>
        <v>43921</v>
      </c>
      <c r="F3" s="19">
        <f>Data!F56</f>
        <v>44286</v>
      </c>
      <c r="G3" s="19">
        <f>Data!G56</f>
        <v>44651</v>
      </c>
      <c r="H3" s="19">
        <f>Data!H56</f>
        <v>45016</v>
      </c>
      <c r="I3" s="19">
        <f>Data!I56</f>
        <v>45382</v>
      </c>
      <c r="J3" s="19">
        <f>Data!J56</f>
        <v>45747</v>
      </c>
      <c r="K3" s="19">
        <f>Data!K56</f>
        <v>46112</v>
      </c>
    </row>
    <row r="4" spans="1:11" ht="14.25" customHeight="1" x14ac:dyDescent="0.3">
      <c r="A4" t="s">
        <v>43</v>
      </c>
      <c r="B4" s="30">
        <f>Data!B57</f>
        <v>270.5</v>
      </c>
      <c r="C4" s="30">
        <f>Data!C57</f>
        <v>270.5</v>
      </c>
      <c r="D4" s="30">
        <f>Data!D57</f>
        <v>270.5</v>
      </c>
      <c r="E4" s="30">
        <f>Data!E57</f>
        <v>270.5</v>
      </c>
      <c r="F4" s="30">
        <f>Data!F57</f>
        <v>319.56</v>
      </c>
      <c r="G4" s="30">
        <f>Data!G57</f>
        <v>319.56</v>
      </c>
      <c r="H4" s="30">
        <f>Data!H57</f>
        <v>319.56</v>
      </c>
      <c r="I4" s="30">
        <f>Data!I57</f>
        <v>319.56</v>
      </c>
      <c r="J4" s="30">
        <f>Data!J57</f>
        <v>319.56</v>
      </c>
      <c r="K4" s="30">
        <f>Data!K57</f>
        <v>319.56</v>
      </c>
    </row>
    <row r="5" spans="1:11" ht="14.25" customHeight="1" x14ac:dyDescent="0.3">
      <c r="A5" t="s">
        <v>44</v>
      </c>
      <c r="B5" s="30">
        <f>Data!B58</f>
        <v>12944.05</v>
      </c>
      <c r="C5" s="30">
        <f>Data!C58</f>
        <v>16129.38</v>
      </c>
      <c r="D5" s="30">
        <f>Data!D58</f>
        <v>18035.009999999998</v>
      </c>
      <c r="E5" s="30">
        <f>Data!E58</f>
        <v>19295.52</v>
      </c>
      <c r="F5" s="30">
        <f>Data!F58</f>
        <v>22002.7</v>
      </c>
      <c r="G5" s="30">
        <f>Data!G58</f>
        <v>22122</v>
      </c>
      <c r="H5" s="30">
        <f>Data!H58</f>
        <v>28467.87</v>
      </c>
      <c r="I5" s="30">
        <f>Data!I58</f>
        <v>32035.73</v>
      </c>
      <c r="J5" s="30">
        <f>Data!J58</f>
        <v>35521.11</v>
      </c>
      <c r="K5" s="30">
        <f>Data!K58</f>
        <v>39147.65</v>
      </c>
    </row>
    <row r="6" spans="1:11" ht="14.25" customHeight="1" x14ac:dyDescent="0.3">
      <c r="A6" t="s">
        <v>45</v>
      </c>
      <c r="B6" s="30">
        <f>Data!B59</f>
        <v>48815.41</v>
      </c>
      <c r="C6" s="30">
        <f>Data!C59</f>
        <v>48589.24</v>
      </c>
      <c r="D6" s="30">
        <f>Data!D59</f>
        <v>48506.04</v>
      </c>
      <c r="E6" s="30">
        <f>Data!E59</f>
        <v>51936.15</v>
      </c>
      <c r="F6" s="30">
        <f>Data!F59</f>
        <v>46707.95</v>
      </c>
      <c r="G6" s="30">
        <f>Data!G59</f>
        <v>51195.12</v>
      </c>
      <c r="H6" s="30">
        <f>Data!H59</f>
        <v>52923</v>
      </c>
      <c r="I6" s="30">
        <f>Data!I59</f>
        <v>53689.45</v>
      </c>
      <c r="J6" s="30">
        <f>Data!J59</f>
        <v>62865.8</v>
      </c>
      <c r="K6" s="30">
        <f>Data!K59</f>
        <v>76141.27</v>
      </c>
    </row>
    <row r="7" spans="1:11" ht="14.25" customHeight="1" x14ac:dyDescent="0.3">
      <c r="A7" t="s">
        <v>46</v>
      </c>
      <c r="B7" s="30">
        <f>Data!B60</f>
        <v>20799.3</v>
      </c>
      <c r="C7" s="30">
        <f>Data!C60</f>
        <v>16902.68</v>
      </c>
      <c r="D7" s="30">
        <f>Data!D60</f>
        <v>17261.89</v>
      </c>
      <c r="E7" s="30">
        <f>Data!E60</f>
        <v>18171.740000000002</v>
      </c>
      <c r="F7" s="30">
        <f>Data!F60</f>
        <v>29624.63</v>
      </c>
      <c r="G7" s="30">
        <f>Data!G60</f>
        <v>38913.31</v>
      </c>
      <c r="H7" s="30">
        <f>Data!H60</f>
        <v>46385.71</v>
      </c>
      <c r="I7" s="30">
        <f>Data!I60</f>
        <v>53009.66</v>
      </c>
      <c r="J7" s="30">
        <f>Data!J60</f>
        <v>57486.83</v>
      </c>
      <c r="K7" s="30">
        <f>Data!K60</f>
        <v>58955.76</v>
      </c>
    </row>
    <row r="8" spans="1:11" s="16" customFormat="1" ht="14.25" customHeight="1" x14ac:dyDescent="0.3">
      <c r="A8" s="16" t="s">
        <v>47</v>
      </c>
      <c r="B8" s="31">
        <f>Data!B61</f>
        <v>82829.259999999995</v>
      </c>
      <c r="C8" s="31">
        <f>Data!C61</f>
        <v>81891.8</v>
      </c>
      <c r="D8" s="31">
        <f>Data!D61</f>
        <v>84073.44</v>
      </c>
      <c r="E8" s="31">
        <f>Data!E61</f>
        <v>89673.91</v>
      </c>
      <c r="F8" s="31">
        <f>Data!F61</f>
        <v>98654.84</v>
      </c>
      <c r="G8" s="31">
        <f>Data!G61</f>
        <v>112549.99</v>
      </c>
      <c r="H8" s="31">
        <f>Data!H61</f>
        <v>128096.14</v>
      </c>
      <c r="I8" s="31">
        <f>Data!I61</f>
        <v>139054.39999999999</v>
      </c>
      <c r="J8" s="31">
        <f>Data!J61</f>
        <v>156193.29999999999</v>
      </c>
      <c r="K8" s="31">
        <f>Data!K61</f>
        <v>174564.24</v>
      </c>
    </row>
    <row r="9" spans="1:11" s="16" customFormat="1" ht="14.25" customHeight="1" x14ac:dyDescent="0.3">
      <c r="B9" s="31"/>
      <c r="C9" s="31"/>
      <c r="D9" s="31"/>
      <c r="E9" s="31"/>
      <c r="F9" s="31"/>
      <c r="G9" s="31"/>
      <c r="H9" s="31"/>
      <c r="I9" s="31"/>
      <c r="J9" s="31"/>
      <c r="K9" s="31"/>
    </row>
    <row r="10" spans="1:11" ht="14.25" customHeight="1" x14ac:dyDescent="0.3">
      <c r="A10" t="s">
        <v>48</v>
      </c>
      <c r="B10" s="30">
        <f>Data!B62</f>
        <v>46594.79</v>
      </c>
      <c r="C10" s="30">
        <f>Data!C62</f>
        <v>44656.26</v>
      </c>
      <c r="D10" s="30">
        <f>Data!D62</f>
        <v>44304.89</v>
      </c>
      <c r="E10" s="30">
        <f>Data!E62</f>
        <v>47666.36</v>
      </c>
      <c r="F10" s="30">
        <f>Data!F62</f>
        <v>52179.15</v>
      </c>
      <c r="G10" s="30">
        <f>Data!G62</f>
        <v>57389.440000000002</v>
      </c>
      <c r="H10" s="30">
        <f>Data!H62</f>
        <v>61746.66</v>
      </c>
      <c r="I10" s="30">
        <f>Data!I62</f>
        <v>67209.56</v>
      </c>
      <c r="J10" s="30">
        <f>Data!J62</f>
        <v>78374.429999999993</v>
      </c>
      <c r="K10" s="30">
        <f>Data!K62</f>
        <v>87292.69</v>
      </c>
    </row>
    <row r="11" spans="1:11" ht="14.25" customHeight="1" x14ac:dyDescent="0.3">
      <c r="A11" t="s">
        <v>49</v>
      </c>
      <c r="B11" s="30">
        <f>Data!B63</f>
        <v>2177.92</v>
      </c>
      <c r="C11" s="30">
        <f>Data!C63</f>
        <v>1652.6</v>
      </c>
      <c r="D11" s="30">
        <f>Data!D63</f>
        <v>2575.6999999999998</v>
      </c>
      <c r="E11" s="30">
        <f>Data!E63</f>
        <v>1611.52</v>
      </c>
      <c r="F11" s="30">
        <f>Data!F63</f>
        <v>3270.26</v>
      </c>
      <c r="G11" s="30">
        <f>Data!G63</f>
        <v>4635.1000000000004</v>
      </c>
      <c r="H11" s="30">
        <f>Data!H63</f>
        <v>5376.36</v>
      </c>
      <c r="I11" s="30">
        <f>Data!I63</f>
        <v>11561.31</v>
      </c>
      <c r="J11" s="30">
        <f>Data!J63</f>
        <v>12678.87</v>
      </c>
      <c r="K11" s="30">
        <f>Data!K63</f>
        <v>14595.13</v>
      </c>
    </row>
    <row r="12" spans="1:11" ht="14.25" customHeight="1" x14ac:dyDescent="0.3">
      <c r="A12" t="s">
        <v>50</v>
      </c>
      <c r="B12" s="30">
        <f>Data!B64</f>
        <v>11873.01</v>
      </c>
      <c r="C12" s="30">
        <f>Data!C64</f>
        <v>12428.93</v>
      </c>
      <c r="D12" s="30">
        <f>Data!D64</f>
        <v>13541.87</v>
      </c>
      <c r="E12" s="30">
        <f>Data!E64</f>
        <v>14534.84</v>
      </c>
      <c r="F12" s="30">
        <f>Data!F64</f>
        <v>13149.05</v>
      </c>
      <c r="G12" s="30">
        <f>Data!G64</f>
        <v>14160.33</v>
      </c>
      <c r="H12" s="30">
        <f>Data!H64</f>
        <v>16669.689999999999</v>
      </c>
      <c r="I12" s="30">
        <f>Data!I64</f>
        <v>16315.99</v>
      </c>
      <c r="J12" s="30">
        <f>Data!J64</f>
        <v>16316.39</v>
      </c>
      <c r="K12" s="30">
        <f>Data!K64</f>
        <v>16574.54</v>
      </c>
    </row>
    <row r="13" spans="1:11" ht="14.25" customHeight="1" x14ac:dyDescent="0.3">
      <c r="A13" t="s">
        <v>51</v>
      </c>
      <c r="B13" s="30">
        <f>Data!B65</f>
        <v>22183.54</v>
      </c>
      <c r="C13" s="30">
        <f>Data!C65</f>
        <v>23154.01</v>
      </c>
      <c r="D13" s="30">
        <f>Data!D65</f>
        <v>23650.98</v>
      </c>
      <c r="E13" s="30">
        <f>Data!E65</f>
        <v>25861.19</v>
      </c>
      <c r="F13" s="30">
        <f>Data!F65</f>
        <v>30056.38</v>
      </c>
      <c r="G13" s="30">
        <f>Data!G65</f>
        <v>36365.120000000003</v>
      </c>
      <c r="H13" s="30">
        <f>Data!H65</f>
        <v>44303.43</v>
      </c>
      <c r="I13" s="30">
        <f>Data!I65</f>
        <v>43967.54</v>
      </c>
      <c r="J13" s="30">
        <f>Data!J65</f>
        <v>48823.61</v>
      </c>
      <c r="K13" s="30">
        <f>Data!K65</f>
        <v>56101.88</v>
      </c>
    </row>
    <row r="14" spans="1:11" s="16" customFormat="1" ht="14.25" customHeight="1" x14ac:dyDescent="0.3">
      <c r="A14" s="16" t="s">
        <v>47</v>
      </c>
      <c r="B14" s="30">
        <f>Data!B66</f>
        <v>82829.259999999995</v>
      </c>
      <c r="C14" s="30">
        <f>Data!C66</f>
        <v>81891.8</v>
      </c>
      <c r="D14" s="30">
        <f>Data!D66</f>
        <v>84073.44</v>
      </c>
      <c r="E14" s="30">
        <f>Data!E66</f>
        <v>89673.91</v>
      </c>
      <c r="F14" s="30">
        <f>Data!F66</f>
        <v>98654.84</v>
      </c>
      <c r="G14" s="30">
        <f>Data!G66</f>
        <v>112549.99</v>
      </c>
      <c r="H14" s="30">
        <f>Data!H66</f>
        <v>128096.14</v>
      </c>
      <c r="I14" s="30">
        <f>Data!I66</f>
        <v>139054.39999999999</v>
      </c>
      <c r="J14" s="30">
        <f>Data!J66</f>
        <v>156193.29999999999</v>
      </c>
      <c r="K14" s="30">
        <f>Data!K66</f>
        <v>174564.24</v>
      </c>
    </row>
    <row r="15" spans="1:11" ht="14.25" customHeight="1" x14ac:dyDescent="0.3">
      <c r="B15" s="22"/>
      <c r="C15" s="22"/>
      <c r="D15" s="22"/>
      <c r="E15" s="22"/>
      <c r="F15" s="22"/>
      <c r="G15" s="22"/>
      <c r="H15" s="22"/>
      <c r="I15" s="22"/>
      <c r="J15" s="22"/>
      <c r="K15" s="22"/>
    </row>
    <row r="16" spans="1:11" ht="14.25" customHeight="1" x14ac:dyDescent="0.3">
      <c r="A16" t="s">
        <v>52</v>
      </c>
      <c r="B16" s="22">
        <f t="shared" ref="B16:K16" si="0">B13-B7</f>
        <v>1384.2400000000016</v>
      </c>
      <c r="C16" s="22">
        <f t="shared" si="0"/>
        <v>6251.3299999999981</v>
      </c>
      <c r="D16" s="22">
        <f t="shared" si="0"/>
        <v>6389.09</v>
      </c>
      <c r="E16" s="22">
        <f t="shared" si="0"/>
        <v>7689.4499999999971</v>
      </c>
      <c r="F16" s="22">
        <f t="shared" si="0"/>
        <v>431.75</v>
      </c>
      <c r="G16" s="22">
        <f t="shared" si="0"/>
        <v>-2548.1899999999951</v>
      </c>
      <c r="H16" s="22">
        <f t="shared" si="0"/>
        <v>-2082.2799999999988</v>
      </c>
      <c r="I16" s="22">
        <f t="shared" si="0"/>
        <v>-9042.1200000000026</v>
      </c>
      <c r="J16" s="22">
        <f t="shared" si="0"/>
        <v>-8663.2200000000012</v>
      </c>
      <c r="K16" s="22">
        <f t="shared" si="0"/>
        <v>-2853.8800000000047</v>
      </c>
    </row>
    <row r="17" spans="1:11" ht="14.25" customHeight="1" x14ac:dyDescent="0.3">
      <c r="A17" t="s">
        <v>53</v>
      </c>
      <c r="B17" s="22">
        <f>Data!B67</f>
        <v>3832.12</v>
      </c>
      <c r="C17" s="22">
        <f>Data!C67</f>
        <v>2788.93</v>
      </c>
      <c r="D17" s="22">
        <f>Data!D67</f>
        <v>4445.26</v>
      </c>
      <c r="E17" s="22">
        <f>Data!E67</f>
        <v>4425.8999999999996</v>
      </c>
      <c r="F17" s="22">
        <f>Data!F67</f>
        <v>5200.08</v>
      </c>
      <c r="G17" s="22">
        <f>Data!G67</f>
        <v>5979.74</v>
      </c>
      <c r="H17" s="22">
        <f>Data!H67</f>
        <v>6952.15</v>
      </c>
      <c r="I17" s="22">
        <f>Data!I67</f>
        <v>7401.69</v>
      </c>
      <c r="J17" s="22">
        <f>Data!J67</f>
        <v>5709.78</v>
      </c>
      <c r="K17" s="22">
        <f>Data!K67</f>
        <v>4423.96</v>
      </c>
    </row>
    <row r="18" spans="1:11" ht="14.25" customHeight="1" x14ac:dyDescent="0.3">
      <c r="A18" t="s">
        <v>54</v>
      </c>
      <c r="B18" s="22">
        <f>Data!B68</f>
        <v>1599.56</v>
      </c>
      <c r="C18" s="22">
        <f>Data!C68</f>
        <v>1623.08</v>
      </c>
      <c r="D18" s="22">
        <f>Data!D68</f>
        <v>1706.42</v>
      </c>
      <c r="E18" s="22">
        <f>Data!E68</f>
        <v>1752.35</v>
      </c>
      <c r="F18" s="22">
        <f>Data!F68</f>
        <v>1885.62</v>
      </c>
      <c r="G18" s="22">
        <f>Data!G68</f>
        <v>4231.5200000000004</v>
      </c>
      <c r="H18" s="22">
        <f>Data!H68</f>
        <v>3942.88</v>
      </c>
      <c r="I18" s="22">
        <f>Data!I68</f>
        <v>4419.63</v>
      </c>
      <c r="J18" s="22">
        <f>Data!J68</f>
        <v>4571.82</v>
      </c>
      <c r="K18" s="22">
        <f>Data!K68</f>
        <v>5107.6400000000003</v>
      </c>
    </row>
    <row r="20" spans="1:11" ht="14.25" customHeight="1" x14ac:dyDescent="0.3">
      <c r="A20" t="s">
        <v>55</v>
      </c>
      <c r="B20" s="22">
        <f>IF('Profit &amp; Loss'!B4&gt;0,'Balance Sheet'!B17/('Profit &amp; Loss'!B4/365),0)</f>
        <v>50.701195718799646</v>
      </c>
      <c r="C20" s="22">
        <f>IF('Profit &amp; Loss'!C4&gt;0,'Balance Sheet'!C17/('Profit &amp; Loss'!C4/365),0)</f>
        <v>37.926572646251316</v>
      </c>
      <c r="D20" s="22">
        <f>IF('Profit &amp; Loss'!D4&gt;0,'Balance Sheet'!D17/('Profit &amp; Loss'!D4/365),0)</f>
        <v>54.299275193048707</v>
      </c>
      <c r="E20" s="22">
        <f>IF('Profit &amp; Loss'!E4&gt;0,'Balance Sheet'!E17/('Profit &amp; Loss'!E4/365),0)</f>
        <v>55.444569793697696</v>
      </c>
      <c r="F20" s="22">
        <f>IF('Profit &amp; Loss'!F4&gt;0,'Balance Sheet'!F17/('Profit &amp; Loss'!F4/365),0)</f>
        <v>58.037831644564413</v>
      </c>
      <c r="G20" s="22">
        <f>IF('Profit &amp; Loss'!G4&gt;0,'Balance Sheet'!G17/('Profit &amp; Loss'!G4/365),0)</f>
        <v>50.976782565822283</v>
      </c>
      <c r="H20" s="22">
        <f>IF('Profit &amp; Loss'!H4&gt;0,'Balance Sheet'!H17/('Profit &amp; Loss'!H4/365),0)</f>
        <v>46.045674324448889</v>
      </c>
      <c r="I20" s="22">
        <f>IF('Profit &amp; Loss'!I4&gt;0,'Balance Sheet'!I17/('Profit &amp; Loss'!I4/365),0)</f>
        <v>43.965259752412166</v>
      </c>
      <c r="J20" s="22">
        <f>IF('Profit &amp; Loss'!J4&gt;0,'Balance Sheet'!J17/('Profit &amp; Loss'!J4/365),0)</f>
        <v>31.828431857667525</v>
      </c>
      <c r="K20" s="22">
        <f>IF('Profit &amp; Loss'!K4&gt;0,'Balance Sheet'!K17/('Profit &amp; Loss'!K4/365),0)</f>
        <v>25.865479261985577</v>
      </c>
    </row>
    <row r="21" spans="1:11" ht="14.25" customHeight="1" x14ac:dyDescent="0.3">
      <c r="A21" t="s">
        <v>56</v>
      </c>
      <c r="B21" s="22">
        <f>IF('Balance Sheet'!B18&gt;0,'Profit &amp; Loss'!B4/'Balance Sheet'!B18,0)</f>
        <v>17.246986671334618</v>
      </c>
      <c r="C21" s="22">
        <f>IF('Balance Sheet'!C18&gt;0,'Profit &amp; Loss'!C4/'Balance Sheet'!C18,0)</f>
        <v>16.536627892648546</v>
      </c>
      <c r="D21" s="22">
        <f>IF('Balance Sheet'!D18&gt;0,'Profit &amp; Loss'!D4/'Balance Sheet'!D18,0)</f>
        <v>17.510964475334326</v>
      </c>
      <c r="E21" s="22">
        <f>IF('Balance Sheet'!E18&gt;0,'Profit &amp; Loss'!E4/'Balance Sheet'!E18,0)</f>
        <v>16.627026564327902</v>
      </c>
      <c r="F21" s="22">
        <f>IF('Balance Sheet'!F18&gt;0,'Profit &amp; Loss'!F4/'Balance Sheet'!F18,0)</f>
        <v>17.343531570517921</v>
      </c>
      <c r="G21" s="22">
        <f>IF('Balance Sheet'!G18&gt;0,'Profit &amp; Loss'!G4/'Balance Sheet'!G18,0)</f>
        <v>10.118271921200892</v>
      </c>
      <c r="H21" s="22">
        <f>IF('Balance Sheet'!H18&gt;0,'Profit &amp; Loss'!H4/'Balance Sheet'!H18,0)</f>
        <v>13.976859554437366</v>
      </c>
      <c r="I21" s="22">
        <f>IF('Balance Sheet'!I18&gt;0,'Profit &amp; Loss'!I4/'Balance Sheet'!I18,0)</f>
        <v>13.903629941872962</v>
      </c>
      <c r="J21" s="22">
        <f>IF('Balance Sheet'!J18&gt;0,'Profit &amp; Loss'!J4/'Balance Sheet'!J18,0)</f>
        <v>14.322138666876649</v>
      </c>
      <c r="K21" s="22">
        <f>IF('Balance Sheet'!K18&gt;0,'Profit &amp; Loss'!K4/'Balance Sheet'!K18,0)</f>
        <v>12.222590080741789</v>
      </c>
    </row>
    <row r="23" spans="1:11" s="16" customFormat="1" ht="14.25" customHeight="1" x14ac:dyDescent="0.3">
      <c r="A23" s="16" t="s">
        <v>8</v>
      </c>
      <c r="B23" s="28">
        <f>IF(SUM('Balance Sheet'!B4:B5)&gt;0,'Profit &amp; Loss'!B12/SUM('Balance Sheet'!B4:B5),"")</f>
        <v>6.7845670113624759E-2</v>
      </c>
      <c r="C23" s="28">
        <f>IF(SUM('Balance Sheet'!C4:C5)&gt;0,'Profit &amp; Loss'!C12/SUM('Balance Sheet'!C4:C5),"")</f>
        <v>0.14684863547782059</v>
      </c>
      <c r="D23" s="28">
        <f>IF(SUM('Balance Sheet'!D4:D5)&gt;0,'Profit &amp; Loss'!D12/SUM('Balance Sheet'!D4:D5),"")</f>
        <v>0.12871479680161876</v>
      </c>
      <c r="E23" s="28">
        <f>IF(SUM('Balance Sheet'!E4:E5)&gt;0,'Profit &amp; Loss'!E12/SUM('Balance Sheet'!E4:E5),"")</f>
        <v>5.1997289177870616E-2</v>
      </c>
      <c r="F23" s="28">
        <f>IF(SUM('Balance Sheet'!F4:F5)&gt;0,'Profit &amp; Loss'!F12/SUM('Balance Sheet'!F4:F5),"")</f>
        <v>5.050474279934021E-2</v>
      </c>
      <c r="G23" s="28">
        <f>IF(SUM('Balance Sheet'!G4:G5)&gt;0,'Profit &amp; Loss'!G12/SUM('Balance Sheet'!G4:G5),"")</f>
        <v>7.7599774703719343E-2</v>
      </c>
      <c r="H23" s="28">
        <f>IF(SUM('Balance Sheet'!H4:H5)&gt;0,'Profit &amp; Loss'!H12/SUM('Balance Sheet'!H4:H5),"")</f>
        <v>0.11589919628115465</v>
      </c>
      <c r="I23" s="28">
        <f>IF(SUM('Balance Sheet'!I4:I5)&gt;0,'Profit &amp; Loss'!I12/SUM('Balance Sheet'!I4:I5),"")</f>
        <v>0.11423943348985591</v>
      </c>
      <c r="J23" s="28">
        <f>IF(SUM('Balance Sheet'!J4:J5)&gt;0,'Profit &amp; Loss'!J12/SUM('Balance Sheet'!J4:J5),"")</f>
        <v>0.11079591983073978</v>
      </c>
      <c r="K23" s="28">
        <f>IF(SUM('Balance Sheet'!K4:K5)&gt;0,'Profit &amp; Loss'!K12/SUM('Balance Sheet'!K4:K5),"")</f>
        <v>9.4944385478476945E-2</v>
      </c>
    </row>
    <row r="24" spans="1:11" s="16" customFormat="1" ht="14.25" customHeight="1" x14ac:dyDescent="0.3">
      <c r="A24" s="16" t="s">
        <v>57</v>
      </c>
      <c r="B24" s="28"/>
      <c r="C24" s="28">
        <f>IF((B4+B5+B6+C4+C5+C6)&gt;0,('Profit &amp; Loss'!C10+'Profit &amp; Loss'!C9)*2/(B4+B5+B6+C4+C5+C6),"")</f>
        <v>0.10288690486500138</v>
      </c>
      <c r="D24" s="28">
        <f>IF((C4+C5+C6+D4+D5+D6)&gt;0,('Profit &amp; Loss'!D10+'Profit &amp; Loss'!D9)*2/(C4+C5+C6+D4+D5+D6),"")</f>
        <v>0.11932033425930234</v>
      </c>
      <c r="E24" s="28">
        <f>IF((D4+D5+D6+E4+E5+E6)&gt;0,('Profit &amp; Loss'!E10+'Profit &amp; Loss'!E9)*2/(D4+D5+D6+E4+E5+E6),"")</f>
        <v>9.3290239030517003E-2</v>
      </c>
      <c r="F24" s="28">
        <f>IF((E4+E5+E6+F4+F5+F6)&gt;0,('Profit &amp; Loss'!F10+'Profit &amp; Loss'!F9)*2/(E4+E5+E6+F4+F5+F6),"")</f>
        <v>8.4691086851300751E-2</v>
      </c>
      <c r="G24" s="28">
        <f>IF((F4+F5+F6+G4+G5+G6)&gt;0,('Profit &amp; Loss'!G10+'Profit &amp; Loss'!G9)*2/(F4+F5+F6+G4+G5+G6),"")</f>
        <v>8.9638037248866945E-2</v>
      </c>
      <c r="H24" s="28">
        <f>IF((G4+G5+G6+H4+H5+H6)&gt;0,('Profit &amp; Loss'!H10+'Profit &amp; Loss'!H9)*2/(G4+G5+G6+H4+H5+H6),"")</f>
        <v>0.12653791885796911</v>
      </c>
      <c r="I24" s="28">
        <f>IF((H4+H5+H6+I4+I5+I6)&gt;0,('Profit &amp; Loss'!I10+'Profit &amp; Loss'!I9)*2/(H4+H5+H6+I4+I5+I6),"")</f>
        <v>0.12357580395286777</v>
      </c>
      <c r="J24" s="28">
        <f>IF((I4+I5+I6+J4+J5+J6)&gt;0,('Profit &amp; Loss'!J10+'Profit &amp; Loss'!J9)*2/(I4+I5+I6+J4+J5+J6),"")</f>
        <v>0.1193178653606653</v>
      </c>
      <c r="K24" s="28">
        <f>IF((J4+J5+J6+K4+K5+K6)&gt;0,('Profit &amp; Loss'!K10+'Profit &amp; Loss'!K9)*2/(J4+J5+J6+K4+K5+K6),"")</f>
        <v>0.11098413806409677</v>
      </c>
    </row>
  </sheetData>
  <hyperlinks>
    <hyperlink ref="J1" r:id="rId1" xr:uid="{00000000-0004-0000-0300-000000000000}"/>
  </hyperlinks>
  <printOptions gridLines="1"/>
  <pageMargins left="0.7" right="0.7" top="0.75" bottom="0.75" header="0.511811023622047" footer="0.511811023622047"/>
  <pageSetup paperSize="9"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K8"/>
  <sheetViews>
    <sheetView zoomScale="150" zoomScaleNormal="150" workbookViewId="0">
      <pane xSplit="1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8.77734375" defaultRowHeight="14.4" x14ac:dyDescent="0.3"/>
  <cols>
    <col min="1" max="1" width="26.77734375" customWidth="1"/>
    <col min="2" max="11" width="13.44140625" customWidth="1"/>
  </cols>
  <sheetData>
    <row r="1" spans="1:11" s="16" customFormat="1" ht="14.25" customHeight="1" x14ac:dyDescent="0.3">
      <c r="A1" s="16" t="str">
        <f>'Balance Sheet'!A1</f>
        <v>TATA POWER COMPANY LTD</v>
      </c>
      <c r="E1" s="16" t="str">
        <f>UPDATE</f>
        <v/>
      </c>
      <c r="J1" s="16" t="s">
        <v>13</v>
      </c>
    </row>
    <row r="3" spans="1:11" s="16" customFormat="1" ht="14.25" customHeight="1" x14ac:dyDescent="0.3">
      <c r="A3" s="18" t="s">
        <v>14</v>
      </c>
      <c r="B3" s="19">
        <f>Data!B81</f>
        <v>42825</v>
      </c>
      <c r="C3" s="19">
        <f>Data!C81</f>
        <v>43190</v>
      </c>
      <c r="D3" s="19">
        <f>Data!D81</f>
        <v>43555</v>
      </c>
      <c r="E3" s="19">
        <f>Data!E81</f>
        <v>43921</v>
      </c>
      <c r="F3" s="19">
        <f>Data!F81</f>
        <v>44286</v>
      </c>
      <c r="G3" s="19">
        <f>Data!G81</f>
        <v>44651</v>
      </c>
      <c r="H3" s="19">
        <f>Data!H81</f>
        <v>45016</v>
      </c>
      <c r="I3" s="19">
        <f>Data!I81</f>
        <v>45382</v>
      </c>
      <c r="J3" s="19">
        <f>Data!J81</f>
        <v>45747</v>
      </c>
      <c r="K3" s="19">
        <f>Data!K81</f>
        <v>46112</v>
      </c>
    </row>
    <row r="4" spans="1:11" s="16" customFormat="1" ht="14.25" customHeight="1" x14ac:dyDescent="0.3">
      <c r="A4" s="16" t="s">
        <v>58</v>
      </c>
      <c r="B4" s="21">
        <f>Data!B82</f>
        <v>7014.18</v>
      </c>
      <c r="C4" s="21">
        <f>Data!C82</f>
        <v>6363.85</v>
      </c>
      <c r="D4" s="21">
        <f>Data!D82</f>
        <v>4573.79</v>
      </c>
      <c r="E4" s="21">
        <f>Data!E82</f>
        <v>7375.32</v>
      </c>
      <c r="F4" s="21">
        <f>Data!F82</f>
        <v>8345.1200000000008</v>
      </c>
      <c r="G4" s="21">
        <f>Data!G82</f>
        <v>6692.73</v>
      </c>
      <c r="H4" s="21">
        <f>Data!H82</f>
        <v>7165.59</v>
      </c>
      <c r="I4" s="21">
        <f>Data!I82</f>
        <v>12504.37</v>
      </c>
      <c r="J4" s="21">
        <f>Data!J82</f>
        <v>12680.19</v>
      </c>
      <c r="K4" s="21">
        <f>Data!K82</f>
        <v>5993.33</v>
      </c>
    </row>
    <row r="5" spans="1:11" ht="14.25" customHeight="1" x14ac:dyDescent="0.3">
      <c r="A5" t="s">
        <v>59</v>
      </c>
      <c r="B5" s="22">
        <f>Data!B83</f>
        <v>-7372.73</v>
      </c>
      <c r="C5" s="22">
        <f>Data!C83</f>
        <v>-1511.65</v>
      </c>
      <c r="D5" s="22">
        <f>Data!D83</f>
        <v>-272.33999999999997</v>
      </c>
      <c r="E5" s="22">
        <f>Data!E83</f>
        <v>-492.88</v>
      </c>
      <c r="F5" s="22">
        <f>Data!F83</f>
        <v>993.33</v>
      </c>
      <c r="G5" s="22">
        <f>Data!G83</f>
        <v>-6250.47</v>
      </c>
      <c r="H5" s="22">
        <f>Data!H83</f>
        <v>-7263.1</v>
      </c>
      <c r="I5" s="22">
        <f>Data!I83</f>
        <v>-8935.3700000000008</v>
      </c>
      <c r="J5" s="22">
        <f>Data!J83</f>
        <v>-15436.29</v>
      </c>
      <c r="K5" s="22">
        <f>Data!K83</f>
        <v>-14128.65</v>
      </c>
    </row>
    <row r="6" spans="1:11" ht="14.25" customHeight="1" x14ac:dyDescent="0.3">
      <c r="A6" t="s">
        <v>60</v>
      </c>
      <c r="B6" s="22">
        <f>Data!B84</f>
        <v>937.34</v>
      </c>
      <c r="C6" s="22">
        <f>Data!C84</f>
        <v>-4726.26</v>
      </c>
      <c r="D6" s="22">
        <f>Data!D84</f>
        <v>-5184.45</v>
      </c>
      <c r="E6" s="22">
        <f>Data!E84</f>
        <v>-5109.57</v>
      </c>
      <c r="F6" s="22">
        <f>Data!F84</f>
        <v>-7602.88</v>
      </c>
      <c r="G6" s="22">
        <f>Data!G84</f>
        <v>-1183.2</v>
      </c>
      <c r="H6" s="22">
        <f>Data!H84</f>
        <v>1340.77</v>
      </c>
      <c r="I6" s="22">
        <f>Data!I84</f>
        <v>-4497.43</v>
      </c>
      <c r="J6" s="22">
        <f>Data!J84</f>
        <v>4292.3900000000003</v>
      </c>
      <c r="K6" s="22">
        <f>Data!K84</f>
        <v>7782.63</v>
      </c>
    </row>
    <row r="7" spans="1:11" s="16" customFormat="1" ht="14.25" customHeight="1" x14ac:dyDescent="0.3">
      <c r="A7" s="16" t="s">
        <v>61</v>
      </c>
      <c r="B7" s="21">
        <f>Data!B85</f>
        <v>578.79</v>
      </c>
      <c r="C7" s="21">
        <f>Data!C85</f>
        <v>125.94</v>
      </c>
      <c r="D7" s="21">
        <f>Data!D85</f>
        <v>-883</v>
      </c>
      <c r="E7" s="21">
        <f>Data!E85</f>
        <v>1772.87</v>
      </c>
      <c r="F7" s="21">
        <f>Data!F85</f>
        <v>1735.57</v>
      </c>
      <c r="G7" s="21">
        <f>Data!G85</f>
        <v>-740.94</v>
      </c>
      <c r="H7" s="21">
        <f>Data!H85</f>
        <v>1243.26</v>
      </c>
      <c r="I7" s="21">
        <f>Data!I85</f>
        <v>-928.43</v>
      </c>
      <c r="J7" s="21">
        <f>Data!J85</f>
        <v>1536.29</v>
      </c>
      <c r="K7" s="21">
        <f>Data!K85</f>
        <v>-352.69</v>
      </c>
    </row>
    <row r="8" spans="1:11" ht="14.25" customHeight="1" x14ac:dyDescent="0.3">
      <c r="B8" s="22"/>
      <c r="C8" s="22"/>
      <c r="D8" s="22"/>
      <c r="E8" s="22"/>
      <c r="F8" s="22"/>
      <c r="G8" s="22"/>
      <c r="H8" s="22"/>
      <c r="I8" s="22"/>
      <c r="J8" s="22"/>
      <c r="K8" s="22"/>
    </row>
  </sheetData>
  <hyperlinks>
    <hyperlink ref="J1" r:id="rId1" xr:uid="{00000000-0004-0000-0400-000000000000}"/>
  </hyperlinks>
  <printOptions gridLines="1"/>
  <pageMargins left="0.7" right="0.7" top="0.75" bottom="0.75" header="0.511811023622047" footer="0.511811023622047"/>
  <pageSetup paperSize="9"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6"/>
  <sheetViews>
    <sheetView zoomScale="150" zoomScaleNormal="150" workbookViewId="0">
      <selection activeCell="B16" sqref="B16"/>
    </sheetView>
  </sheetViews>
  <sheetFormatPr defaultColWidth="8.77734375" defaultRowHeight="14.4" x14ac:dyDescent="0.3"/>
  <cols>
    <col min="1" max="1" width="8.77734375" style="16"/>
    <col min="2" max="2" width="10.44140625" customWidth="1"/>
    <col min="3" max="3" width="13.33203125" style="32" customWidth="1"/>
    <col min="6" max="6" width="6.77734375" customWidth="1"/>
  </cols>
  <sheetData>
    <row r="1" spans="1:7" ht="21" customHeight="1" x14ac:dyDescent="0.4">
      <c r="A1" s="33" t="s">
        <v>62</v>
      </c>
    </row>
    <row r="3" spans="1:7" ht="14.25" customHeight="1" x14ac:dyDescent="0.3">
      <c r="A3" s="16" t="s">
        <v>63</v>
      </c>
    </row>
    <row r="4" spans="1:7" ht="14.25" customHeight="1" x14ac:dyDescent="0.3">
      <c r="B4" t="s">
        <v>64</v>
      </c>
    </row>
    <row r="5" spans="1:7" ht="14.25" customHeight="1" x14ac:dyDescent="0.3">
      <c r="B5" t="s">
        <v>65</v>
      </c>
    </row>
    <row r="7" spans="1:7" ht="14.25" customHeight="1" x14ac:dyDescent="0.3">
      <c r="A7" s="16" t="s">
        <v>66</v>
      </c>
    </row>
    <row r="8" spans="1:7" ht="14.25" customHeight="1" x14ac:dyDescent="0.3">
      <c r="B8" t="s">
        <v>67</v>
      </c>
      <c r="C8" s="34" t="s">
        <v>68</v>
      </c>
    </row>
    <row r="10" spans="1:7" ht="14.25" customHeight="1" x14ac:dyDescent="0.3">
      <c r="A10" s="16" t="s">
        <v>69</v>
      </c>
    </row>
    <row r="11" spans="1:7" ht="14.25" customHeight="1" x14ac:dyDescent="0.3">
      <c r="B11" t="s">
        <v>70</v>
      </c>
    </row>
    <row r="14" spans="1:7" ht="14.25" customHeight="1" x14ac:dyDescent="0.3">
      <c r="A14" s="16" t="s">
        <v>71</v>
      </c>
    </row>
    <row r="15" spans="1:7" ht="14.25" customHeight="1" x14ac:dyDescent="0.3">
      <c r="B15" t="s">
        <v>72</v>
      </c>
    </row>
    <row r="16" spans="1:7" ht="14.25" customHeight="1" x14ac:dyDescent="0.3">
      <c r="B16" t="s">
        <v>73</v>
      </c>
      <c r="G16" s="35"/>
    </row>
  </sheetData>
  <hyperlinks>
    <hyperlink ref="C8" r:id="rId1" xr:uid="{00000000-0004-0000-0500-000000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Q100"/>
  <sheetViews>
    <sheetView showGridLines="0" zoomScale="82" zoomScaleNormal="82" workbookViewId="0">
      <pane ySplit="3" topLeftCell="A19" activePane="bottomLeft" state="frozen"/>
      <selection pane="bottomLeft" activeCell="L38" sqref="L38"/>
    </sheetView>
  </sheetViews>
  <sheetFormatPr defaultColWidth="8.6640625" defaultRowHeight="14.4" x14ac:dyDescent="0.3"/>
  <cols>
    <col min="1" max="1" width="3.6640625" customWidth="1"/>
    <col min="2" max="2" width="46" style="36" customWidth="1"/>
    <col min="3" max="7" width="14.5546875" style="37" customWidth="1"/>
    <col min="8" max="12" width="15" style="37" customWidth="1"/>
    <col min="13" max="13" width="13.5546875" customWidth="1"/>
    <col min="14" max="14" width="15.21875" customWidth="1"/>
    <col min="15" max="16" width="14.33203125" customWidth="1"/>
    <col min="17" max="17" width="15.21875" customWidth="1"/>
  </cols>
  <sheetData>
    <row r="2" spans="1:17" ht="14.25" customHeight="1" x14ac:dyDescent="0.3">
      <c r="B2" s="12" t="str">
        <f>"Historical Financial Statements For " &amp;Data!B1</f>
        <v>Historical Financial Statements For TATA POWER COMPANY LTD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 x14ac:dyDescent="0.3">
      <c r="B3" s="39" t="s">
        <v>74</v>
      </c>
      <c r="C3" s="40">
        <f>Data!B16</f>
        <v>42825</v>
      </c>
      <c r="D3" s="40">
        <f>Data!C16</f>
        <v>43190</v>
      </c>
      <c r="E3" s="40">
        <f>Data!D16</f>
        <v>43555</v>
      </c>
      <c r="F3" s="40">
        <f>Data!E16</f>
        <v>43921</v>
      </c>
      <c r="G3" s="40">
        <f>Data!F16</f>
        <v>44286</v>
      </c>
      <c r="H3" s="40">
        <f>Data!G16</f>
        <v>44651</v>
      </c>
      <c r="I3" s="40">
        <f>Data!H16</f>
        <v>45016</v>
      </c>
      <c r="J3" s="40">
        <f>Data!I16</f>
        <v>45382</v>
      </c>
      <c r="K3" s="40">
        <f>Data!J16</f>
        <v>45747</v>
      </c>
      <c r="L3" s="40">
        <f>Data!K16</f>
        <v>46112</v>
      </c>
      <c r="M3" s="41">
        <f>Data!K16+365</f>
        <v>46477</v>
      </c>
      <c r="N3" s="41">
        <f>M3+365</f>
        <v>46842</v>
      </c>
      <c r="O3" s="41">
        <f>N3+365</f>
        <v>47207</v>
      </c>
      <c r="P3" s="41">
        <f>O3+365</f>
        <v>47572</v>
      </c>
      <c r="Q3" s="41">
        <f>P3+365</f>
        <v>47937</v>
      </c>
    </row>
    <row r="5" spans="1:17" ht="14.25" customHeight="1" x14ac:dyDescent="0.3">
      <c r="A5" s="16" t="s">
        <v>75</v>
      </c>
      <c r="B5" s="42" t="s">
        <v>76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</row>
    <row r="6" spans="1:17" ht="14.25" customHeight="1" x14ac:dyDescent="0.3">
      <c r="M6" s="44"/>
      <c r="N6" s="44"/>
      <c r="O6" s="44"/>
      <c r="P6" s="44"/>
      <c r="Q6" s="44"/>
    </row>
    <row r="7" spans="1:17" ht="14.25" customHeight="1" x14ac:dyDescent="0.3">
      <c r="B7" s="36" t="s">
        <v>18</v>
      </c>
      <c r="C7" s="45">
        <f>Data!B17</f>
        <v>27587.59</v>
      </c>
      <c r="D7" s="45">
        <f>Data!C17</f>
        <v>26840.27</v>
      </c>
      <c r="E7" s="45">
        <f>Data!D17</f>
        <v>29881.06</v>
      </c>
      <c r="F7" s="45">
        <f>Data!E17</f>
        <v>29136.37</v>
      </c>
      <c r="G7" s="45">
        <f>Data!F17</f>
        <v>32703.31</v>
      </c>
      <c r="H7" s="45">
        <f>Data!G17</f>
        <v>42815.67</v>
      </c>
      <c r="I7" s="45">
        <f>Data!H17</f>
        <v>55109.08</v>
      </c>
      <c r="J7" s="45">
        <f>Data!I17</f>
        <v>61448.9</v>
      </c>
      <c r="K7" s="45">
        <f>Data!J17</f>
        <v>65478.239999999998</v>
      </c>
      <c r="L7" s="45">
        <f>Data!K17</f>
        <v>62428.59</v>
      </c>
      <c r="M7" s="46">
        <f>_xlfn.FORECAST.LINEAR(M$3,$C7:$L7,$C$3:$L$3)</f>
        <v>71000.775470679509</v>
      </c>
      <c r="N7" s="46">
        <f>_xlfn.FORECAST.LINEAR(N$3,$C7:$L7,$C$3:$L$3)</f>
        <v>76026.974936349317</v>
      </c>
      <c r="O7" s="46">
        <f>_xlfn.FORECAST.LINEAR(O$3,$C7:$L7,$C$3:$L$3)</f>
        <v>81053.174402019242</v>
      </c>
      <c r="P7" s="46">
        <f>_xlfn.FORECAST.LINEAR(P$3,$C7:$L7,$C$3:$L$3)</f>
        <v>86079.373867689166</v>
      </c>
      <c r="Q7" s="46">
        <f>_xlfn.FORECAST.LINEAR(Q$3,$C7:$L7,$C$3:$L$3)</f>
        <v>91105.573333359091</v>
      </c>
    </row>
    <row r="8" spans="1:17" ht="14.25" customHeight="1" x14ac:dyDescent="0.3">
      <c r="B8" s="47" t="s">
        <v>77</v>
      </c>
      <c r="C8" s="48" t="s">
        <v>78</v>
      </c>
      <c r="D8" s="48">
        <f t="shared" ref="D8:Q8" si="0">D7/C7-1</f>
        <v>-2.7088991825672371E-2</v>
      </c>
      <c r="E8" s="48">
        <f t="shared" si="0"/>
        <v>0.1132920794015857</v>
      </c>
      <c r="F8" s="48">
        <f t="shared" si="0"/>
        <v>-2.4921806656122758E-2</v>
      </c>
      <c r="G8" s="48">
        <f t="shared" si="0"/>
        <v>0.12242225095301862</v>
      </c>
      <c r="H8" s="48">
        <f t="shared" si="0"/>
        <v>0.30921518341721366</v>
      </c>
      <c r="I8" s="48">
        <f t="shared" si="0"/>
        <v>0.28712408330875139</v>
      </c>
      <c r="J8" s="48">
        <f t="shared" si="0"/>
        <v>0.11504129628003223</v>
      </c>
      <c r="K8" s="48">
        <f t="shared" si="0"/>
        <v>6.5572207150982331E-2</v>
      </c>
      <c r="L8" s="48">
        <f t="shared" si="0"/>
        <v>-4.6575014844626228E-2</v>
      </c>
      <c r="M8" s="48">
        <f t="shared" si="0"/>
        <v>0.13731185456342221</v>
      </c>
      <c r="N8" s="48">
        <f t="shared" si="0"/>
        <v>7.0790768584568786E-2</v>
      </c>
      <c r="O8" s="48">
        <f t="shared" si="0"/>
        <v>6.6110738588217144E-2</v>
      </c>
      <c r="P8" s="48">
        <f t="shared" si="0"/>
        <v>6.2011136550189416E-2</v>
      </c>
      <c r="Q8" s="48">
        <f t="shared" si="0"/>
        <v>5.8390288402835999E-2</v>
      </c>
    </row>
    <row r="9" spans="1:17" ht="14.25" customHeight="1" x14ac:dyDescent="0.3">
      <c r="C9" s="45"/>
      <c r="D9" s="45"/>
      <c r="E9" s="45"/>
      <c r="F9" s="45"/>
      <c r="G9" s="45"/>
      <c r="H9" s="45"/>
      <c r="I9" s="45"/>
      <c r="J9" s="45"/>
      <c r="K9" s="45"/>
      <c r="L9" s="45"/>
      <c r="M9" s="44"/>
      <c r="N9" s="44"/>
      <c r="O9" s="44"/>
      <c r="P9" s="44"/>
      <c r="Q9" s="44"/>
    </row>
    <row r="10" spans="1:17" ht="14.25" customHeight="1" x14ac:dyDescent="0.3">
      <c r="B10" s="36" t="s">
        <v>79</v>
      </c>
      <c r="C10" s="45">
        <f>SUM(Data!B18,Data!B20:B22)-(1*Data!B19)</f>
        <v>21013.06</v>
      </c>
      <c r="D10" s="45">
        <f>SUM(Data!C18,Data!C20:C22)-(1*Data!C19)</f>
        <v>19864.32</v>
      </c>
      <c r="E10" s="45">
        <f>SUM(Data!D18,Data!D20:D22)-(1*Data!D19)</f>
        <v>22496.969999999998</v>
      </c>
      <c r="F10" s="45">
        <f>SUM(Data!E18,Data!E20:E22)-(1*Data!E19)</f>
        <v>20639.12</v>
      </c>
      <c r="G10" s="45">
        <f>SUM(Data!F18,Data!F20:F22)-(1*Data!F19)</f>
        <v>24985.640000000003</v>
      </c>
      <c r="H10" s="45">
        <f>SUM(Data!G18,Data!G20:G22)-(1*Data!G19)</f>
        <v>34239.369999999995</v>
      </c>
      <c r="I10" s="45">
        <f>SUM(Data!H18,Data!H20:H22)-(1*Data!H19)</f>
        <v>45560.7</v>
      </c>
      <c r="J10" s="45">
        <f>SUM(Data!I18,Data!I20:I22)-(1*Data!I19)</f>
        <v>49070.77</v>
      </c>
      <c r="K10" s="45">
        <f>SUM(Data!J18,Data!J20:J22)-(1*Data!J19)</f>
        <v>49878.22</v>
      </c>
      <c r="L10" s="45">
        <f>SUM(Data!K18,Data!K20:K22)-(1*Data!K19)</f>
        <v>47522.909999999996</v>
      </c>
      <c r="M10" s="46">
        <f>_xlfn.FORECAST.LINEAR(M$3,$C10:$L10,$C$3:$L$3)</f>
        <v>55708.175721375854</v>
      </c>
      <c r="N10" s="46">
        <f>_xlfn.FORECAST.LINEAR(N$3,$C10:$L10,$C$3:$L$3)</f>
        <v>59739.089198250265</v>
      </c>
      <c r="O10" s="46">
        <f>_xlfn.FORECAST.LINEAR(O$3,$C10:$L10,$C$3:$L$3)</f>
        <v>63770.002675124619</v>
      </c>
      <c r="P10" s="46">
        <f>_xlfn.FORECAST.LINEAR(P$3,$C10:$L10,$C$3:$L$3)</f>
        <v>67800.916151998972</v>
      </c>
      <c r="Q10" s="46">
        <f>_xlfn.FORECAST.LINEAR(Q$3,$C10:$L10,$C$3:$L$3)</f>
        <v>71831.829628873442</v>
      </c>
    </row>
    <row r="11" spans="1:17" ht="14.25" customHeight="1" x14ac:dyDescent="0.3"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4"/>
      <c r="N11" s="44"/>
      <c r="O11" s="44"/>
      <c r="P11" s="44"/>
      <c r="Q11" s="44"/>
    </row>
    <row r="12" spans="1:17" ht="14.25" customHeight="1" x14ac:dyDescent="0.3">
      <c r="B12" s="49" t="s">
        <v>80</v>
      </c>
      <c r="C12" s="50">
        <f t="shared" ref="C12:L12" si="1">C7-C10</f>
        <v>6574.5299999999988</v>
      </c>
      <c r="D12" s="50">
        <f t="shared" si="1"/>
        <v>6975.9500000000007</v>
      </c>
      <c r="E12" s="50">
        <f t="shared" si="1"/>
        <v>7384.0900000000038</v>
      </c>
      <c r="F12" s="50">
        <f t="shared" si="1"/>
        <v>8497.25</v>
      </c>
      <c r="G12" s="50">
        <f t="shared" si="1"/>
        <v>7717.6699999999983</v>
      </c>
      <c r="H12" s="50">
        <f t="shared" si="1"/>
        <v>8576.3000000000029</v>
      </c>
      <c r="I12" s="50">
        <f t="shared" si="1"/>
        <v>9548.3800000000047</v>
      </c>
      <c r="J12" s="50">
        <f t="shared" si="1"/>
        <v>12378.130000000005</v>
      </c>
      <c r="K12" s="50">
        <f t="shared" si="1"/>
        <v>15600.019999999997</v>
      </c>
      <c r="L12" s="50">
        <f t="shared" si="1"/>
        <v>14905.68</v>
      </c>
      <c r="M12" s="51">
        <f>_xlfn.FORECAST.LINEAR(M$3,$C12:$L12,$C$3:$L$3)</f>
        <v>15292.599749303554</v>
      </c>
      <c r="N12" s="51">
        <f>_xlfn.FORECAST.LINEAR(N$3,$C12:$L12,$C$3:$L$3)</f>
        <v>16287.885738099067</v>
      </c>
      <c r="O12" s="51">
        <f>_xlfn.FORECAST.LINEAR(O$3,$C12:$L12,$C$3:$L$3)</f>
        <v>17283.171726894579</v>
      </c>
      <c r="P12" s="51">
        <f>_xlfn.FORECAST.LINEAR(P$3,$C12:$L12,$C$3:$L$3)</f>
        <v>18278.457715690107</v>
      </c>
      <c r="Q12" s="51">
        <f>_xlfn.FORECAST.LINEAR(Q$3,$C12:$L12,$C$3:$L$3)</f>
        <v>19273.74370448562</v>
      </c>
    </row>
    <row r="13" spans="1:17" ht="14.25" customHeight="1" x14ac:dyDescent="0.3">
      <c r="B13" s="47" t="s">
        <v>81</v>
      </c>
      <c r="C13" s="48">
        <f t="shared" ref="C13:Q13" si="2">C12/C7</f>
        <v>0.23831476399352022</v>
      </c>
      <c r="D13" s="48">
        <f t="shared" si="2"/>
        <v>0.25990610377615431</v>
      </c>
      <c r="E13" s="48">
        <f t="shared" si="2"/>
        <v>0.24711606616365026</v>
      </c>
      <c r="F13" s="48">
        <f t="shared" si="2"/>
        <v>0.2916372217953026</v>
      </c>
      <c r="G13" s="48">
        <f t="shared" si="2"/>
        <v>0.23599048536677167</v>
      </c>
      <c r="H13" s="48">
        <f t="shared" si="2"/>
        <v>0.20030750423851837</v>
      </c>
      <c r="I13" s="48">
        <f t="shared" si="2"/>
        <v>0.17326328075155681</v>
      </c>
      <c r="J13" s="48">
        <f t="shared" si="2"/>
        <v>0.20143778000908077</v>
      </c>
      <c r="K13" s="48">
        <f t="shared" si="2"/>
        <v>0.23824739333250247</v>
      </c>
      <c r="L13" s="48">
        <f t="shared" si="2"/>
        <v>0.23876368183231433</v>
      </c>
      <c r="M13" s="48">
        <f t="shared" si="2"/>
        <v>0.21538637638709718</v>
      </c>
      <c r="N13" s="48">
        <f t="shared" si="2"/>
        <v>0.21423824572443501</v>
      </c>
      <c r="O13" s="48">
        <f t="shared" si="2"/>
        <v>0.21323250883637213</v>
      </c>
      <c r="P13" s="48">
        <f t="shared" si="2"/>
        <v>0.21234422248221216</v>
      </c>
      <c r="Q13" s="48">
        <f t="shared" si="2"/>
        <v>0.21155394779156034</v>
      </c>
    </row>
    <row r="14" spans="1:17" ht="14.25" customHeight="1" x14ac:dyDescent="0.3"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4"/>
      <c r="N14" s="44"/>
      <c r="O14" s="44"/>
      <c r="P14" s="44"/>
      <c r="Q14" s="44"/>
    </row>
    <row r="15" spans="1:17" ht="14.25" customHeight="1" x14ac:dyDescent="0.3">
      <c r="B15" s="36" t="s">
        <v>82</v>
      </c>
      <c r="C15" s="45">
        <f>SUM(Data!B23:B24)</f>
        <v>1101.26</v>
      </c>
      <c r="D15" s="45">
        <f>SUM(Data!C23:C24)</f>
        <v>1968.8</v>
      </c>
      <c r="E15" s="45">
        <f>SUM(Data!D23:D24)</f>
        <v>952.07999999999993</v>
      </c>
      <c r="F15" s="45">
        <f>SUM(Data!E23:E24)</f>
        <v>1692.18</v>
      </c>
      <c r="G15" s="45">
        <f>SUM(Data!F23:F24)</f>
        <v>796.77</v>
      </c>
      <c r="H15" s="45">
        <f>SUM(Data!G23:G24)</f>
        <v>1545.41</v>
      </c>
      <c r="I15" s="45">
        <f>SUM(Data!H23:H24)</f>
        <v>1820.62</v>
      </c>
      <c r="J15" s="45">
        <f>SUM(Data!I23:I24)</f>
        <v>1642.85</v>
      </c>
      <c r="K15" s="45">
        <f>SUM(Data!J23:J24)</f>
        <v>3150.4300000000003</v>
      </c>
      <c r="L15" s="45">
        <f>SUM(Data!K23:K24)</f>
        <v>1634.4099999999999</v>
      </c>
      <c r="M15" s="46">
        <f>_xlfn.FORECAST.LINEAR(M$3,$C15:$L15,$C$3:$L$3)</f>
        <v>2218.9783093276146</v>
      </c>
      <c r="N15" s="46">
        <f>_xlfn.FORECAST.LINEAR(N$3,$C15:$L15,$C$3:$L$3)</f>
        <v>2325.9245467707715</v>
      </c>
      <c r="O15" s="46">
        <f>_xlfn.FORECAST.LINEAR(O$3,$C15:$L15,$C$3:$L$3)</f>
        <v>2432.8707842139283</v>
      </c>
      <c r="P15" s="46">
        <f>_xlfn.FORECAST.LINEAR(P$3,$C15:$L15,$C$3:$L$3)</f>
        <v>2539.8170216570852</v>
      </c>
      <c r="Q15" s="46">
        <f>_xlfn.FORECAST.LINEAR(Q$3,$C15:$L15,$C$3:$L$3)</f>
        <v>2646.7632591002402</v>
      </c>
    </row>
    <row r="16" spans="1:17" ht="14.25" customHeight="1" x14ac:dyDescent="0.3"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4"/>
      <c r="N16" s="44"/>
      <c r="O16" s="44"/>
      <c r="P16" s="44"/>
      <c r="Q16" s="44"/>
    </row>
    <row r="17" spans="2:17" ht="14.25" customHeight="1" x14ac:dyDescent="0.3">
      <c r="B17" s="49" t="s">
        <v>83</v>
      </c>
      <c r="C17" s="50">
        <f t="shared" ref="C17:L17" si="3">C12-C15</f>
        <v>5473.2699999999986</v>
      </c>
      <c r="D17" s="50">
        <f t="shared" si="3"/>
        <v>5007.1500000000005</v>
      </c>
      <c r="E17" s="50">
        <f t="shared" si="3"/>
        <v>6432.0100000000039</v>
      </c>
      <c r="F17" s="50">
        <f t="shared" si="3"/>
        <v>6805.07</v>
      </c>
      <c r="G17" s="50">
        <f t="shared" si="3"/>
        <v>6920.8999999999978</v>
      </c>
      <c r="H17" s="50">
        <f t="shared" si="3"/>
        <v>7030.8900000000031</v>
      </c>
      <c r="I17" s="50">
        <f t="shared" si="3"/>
        <v>7727.7600000000048</v>
      </c>
      <c r="J17" s="50">
        <f t="shared" si="3"/>
        <v>10735.280000000004</v>
      </c>
      <c r="K17" s="50">
        <f t="shared" si="3"/>
        <v>12449.589999999997</v>
      </c>
      <c r="L17" s="50">
        <f t="shared" si="3"/>
        <v>13271.27</v>
      </c>
      <c r="M17" s="51">
        <f>_xlfn.FORECAST.LINEAR(M$3,$C17:$L17,$C$3:$L$3)</f>
        <v>13073.621439975934</v>
      </c>
      <c r="N17" s="51">
        <f>_xlfn.FORECAST.LINEAR(N$3,$C17:$L17,$C$3:$L$3)</f>
        <v>13961.961191328301</v>
      </c>
      <c r="O17" s="51">
        <f>_xlfn.FORECAST.LINEAR(O$3,$C17:$L17,$C$3:$L$3)</f>
        <v>14850.300942680653</v>
      </c>
      <c r="P17" s="51">
        <f>_xlfn.FORECAST.LINEAR(P$3,$C17:$L17,$C$3:$L$3)</f>
        <v>15738.64069403302</v>
      </c>
      <c r="Q17" s="51">
        <f>_xlfn.FORECAST.LINEAR(Q$3,$C17:$L17,$C$3:$L$3)</f>
        <v>16626.980445385387</v>
      </c>
    </row>
    <row r="18" spans="2:17" ht="14.25" customHeight="1" x14ac:dyDescent="0.3">
      <c r="B18" s="47" t="s">
        <v>84</v>
      </c>
      <c r="C18" s="48">
        <f t="shared" ref="C18:Q18" si="4">C17/C7</f>
        <v>0.19839609041601672</v>
      </c>
      <c r="D18" s="48">
        <f t="shared" si="4"/>
        <v>0.186553637500666</v>
      </c>
      <c r="E18" s="48">
        <f t="shared" si="4"/>
        <v>0.21525374267177949</v>
      </c>
      <c r="F18" s="48">
        <f t="shared" si="4"/>
        <v>0.23355929376240073</v>
      </c>
      <c r="G18" s="48">
        <f t="shared" si="4"/>
        <v>0.21162689648234376</v>
      </c>
      <c r="H18" s="48">
        <f t="shared" si="4"/>
        <v>0.16421300892874041</v>
      </c>
      <c r="I18" s="48">
        <f t="shared" si="4"/>
        <v>0.14022661964235303</v>
      </c>
      <c r="J18" s="48">
        <f t="shared" si="4"/>
        <v>0.1747025577349636</v>
      </c>
      <c r="K18" s="48">
        <f t="shared" si="4"/>
        <v>0.19013324121112596</v>
      </c>
      <c r="L18" s="48">
        <f t="shared" si="4"/>
        <v>0.21258320907135658</v>
      </c>
      <c r="M18" s="48">
        <f t="shared" si="4"/>
        <v>0.18413350211047791</v>
      </c>
      <c r="N18" s="48">
        <f t="shared" si="4"/>
        <v>0.18364483399500531</v>
      </c>
      <c r="O18" s="48">
        <f t="shared" si="4"/>
        <v>0.18321677161000488</v>
      </c>
      <c r="P18" s="48">
        <f t="shared" si="4"/>
        <v>0.18283869859723376</v>
      </c>
      <c r="Q18" s="48">
        <f t="shared" si="4"/>
        <v>0.18250234137209775</v>
      </c>
    </row>
    <row r="19" spans="2:17" ht="14.25" customHeight="1" x14ac:dyDescent="0.3"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4"/>
      <c r="N19" s="44"/>
      <c r="O19" s="44"/>
      <c r="P19" s="44"/>
      <c r="Q19" s="44"/>
    </row>
    <row r="20" spans="2:17" ht="14.25" customHeight="1" x14ac:dyDescent="0.3">
      <c r="B20" s="36" t="s">
        <v>85</v>
      </c>
      <c r="C20" s="45">
        <f>SUM(Data!B26)</f>
        <v>1955.59</v>
      </c>
      <c r="D20" s="45">
        <f>SUM(Data!C26)</f>
        <v>2346.17</v>
      </c>
      <c r="E20" s="45">
        <f>SUM(Data!D26)</f>
        <v>2393.13</v>
      </c>
      <c r="F20" s="45">
        <f>SUM(Data!E26)</f>
        <v>2633.56</v>
      </c>
      <c r="G20" s="45">
        <f>SUM(Data!F26)</f>
        <v>2744.94</v>
      </c>
      <c r="H20" s="45">
        <f>SUM(Data!G26)</f>
        <v>3122.2</v>
      </c>
      <c r="I20" s="45">
        <f>SUM(Data!H26)</f>
        <v>3439.2</v>
      </c>
      <c r="J20" s="45">
        <f>SUM(Data!I26)</f>
        <v>3786.37</v>
      </c>
      <c r="K20" s="45">
        <f>SUM(Data!J26)</f>
        <v>4116.8599999999997</v>
      </c>
      <c r="L20" s="45">
        <f>SUM(Data!K26)</f>
        <v>4811.09</v>
      </c>
      <c r="M20" s="46">
        <f>_xlfn.FORECAST.LINEAR(M$3,$C20:$L20,$C$3:$L$3)</f>
        <v>4729.7372998148276</v>
      </c>
      <c r="N20" s="46">
        <f>_xlfn.FORECAST.LINEAR(N$3,$C20:$L20,$C$3:$L$3)</f>
        <v>5019.5613473291014</v>
      </c>
      <c r="O20" s="46">
        <f>_xlfn.FORECAST.LINEAR(O$3,$C20:$L20,$C$3:$L$3)</f>
        <v>5309.3853948433753</v>
      </c>
      <c r="P20" s="46">
        <f>_xlfn.FORECAST.LINEAR(P$3,$C20:$L20,$C$3:$L$3)</f>
        <v>5599.2094423576418</v>
      </c>
      <c r="Q20" s="46">
        <f>_xlfn.FORECAST.LINEAR(Q$3,$C20:$L20,$C$3:$L$3)</f>
        <v>5889.0334898719157</v>
      </c>
    </row>
    <row r="21" spans="2:17" ht="14.25" customHeight="1" x14ac:dyDescent="0.3"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4"/>
      <c r="N21" s="44"/>
      <c r="O21" s="44"/>
      <c r="P21" s="44"/>
      <c r="Q21" s="44"/>
    </row>
    <row r="22" spans="2:17" ht="14.25" customHeight="1" x14ac:dyDescent="0.3">
      <c r="B22" s="49" t="s">
        <v>86</v>
      </c>
      <c r="C22" s="50">
        <f t="shared" ref="C22:L22" si="5">C17-C20</f>
        <v>3517.6799999999985</v>
      </c>
      <c r="D22" s="50">
        <f t="shared" si="5"/>
        <v>2660.9800000000005</v>
      </c>
      <c r="E22" s="50">
        <f t="shared" si="5"/>
        <v>4038.8800000000037</v>
      </c>
      <c r="F22" s="50">
        <f t="shared" si="5"/>
        <v>4171.51</v>
      </c>
      <c r="G22" s="50">
        <f t="shared" si="5"/>
        <v>4175.9599999999973</v>
      </c>
      <c r="H22" s="50">
        <f t="shared" si="5"/>
        <v>3908.6900000000032</v>
      </c>
      <c r="I22" s="50">
        <f t="shared" si="5"/>
        <v>4288.5600000000049</v>
      </c>
      <c r="J22" s="50">
        <f t="shared" si="5"/>
        <v>6948.9100000000044</v>
      </c>
      <c r="K22" s="50">
        <f t="shared" si="5"/>
        <v>8332.7299999999959</v>
      </c>
      <c r="L22" s="50">
        <f t="shared" si="5"/>
        <v>8460.18</v>
      </c>
      <c r="M22" s="51">
        <f>_xlfn.FORECAST.LINEAR(M$3,$C22:$L22,$C$3:$L$3)</f>
        <v>8343.8841401611135</v>
      </c>
      <c r="N22" s="51">
        <f>_xlfn.FORECAST.LINEAR(N$3,$C22:$L22,$C$3:$L$3)</f>
        <v>8942.3998439991992</v>
      </c>
      <c r="O22" s="51">
        <f>_xlfn.FORECAST.LINEAR(O$3,$C22:$L22,$C$3:$L$3)</f>
        <v>9540.915547837285</v>
      </c>
      <c r="P22" s="51">
        <f>_xlfn.FORECAST.LINEAR(P$3,$C22:$L22,$C$3:$L$3)</f>
        <v>10139.431251675385</v>
      </c>
      <c r="Q22" s="51">
        <f>_xlfn.FORECAST.LINEAR(Q$3,$C22:$L22,$C$3:$L$3)</f>
        <v>10737.946955513471</v>
      </c>
    </row>
    <row r="23" spans="2:17" ht="14.25" customHeight="1" x14ac:dyDescent="0.3">
      <c r="B23" s="47" t="s">
        <v>87</v>
      </c>
      <c r="C23" s="48">
        <f t="shared" ref="C23:L23" si="6">C22/C7</f>
        <v>0.12750950699209312</v>
      </c>
      <c r="D23" s="48">
        <f t="shared" si="6"/>
        <v>9.9141327564886653E-2</v>
      </c>
      <c r="E23" s="48">
        <f t="shared" si="6"/>
        <v>0.13516521836909412</v>
      </c>
      <c r="F23" s="48">
        <f t="shared" si="6"/>
        <v>0.14317191880800526</v>
      </c>
      <c r="G23" s="48">
        <f t="shared" si="6"/>
        <v>0.12769227335092373</v>
      </c>
      <c r="H23" s="48">
        <f t="shared" si="6"/>
        <v>9.1291109072916612E-2</v>
      </c>
      <c r="I23" s="48">
        <f t="shared" si="6"/>
        <v>7.7819480927643958E-2</v>
      </c>
      <c r="J23" s="48">
        <f t="shared" si="6"/>
        <v>0.11308436766158556</v>
      </c>
      <c r="K23" s="48">
        <f t="shared" si="6"/>
        <v>0.12725952927262546</v>
      </c>
      <c r="L23" s="48">
        <f t="shared" si="6"/>
        <v>0.13551771712287591</v>
      </c>
      <c r="M23" s="48">
        <f>M22/M12</f>
        <v>0.5456158061379397</v>
      </c>
      <c r="N23" s="48">
        <f>N22/N12</f>
        <v>0.54902152359050449</v>
      </c>
      <c r="O23" s="48">
        <f>O22/O12</f>
        <v>0.55203499094963782</v>
      </c>
      <c r="P23" s="48">
        <f>P22/P12</f>
        <v>0.55472028381102223</v>
      </c>
      <c r="Q23" s="48">
        <f>Q22/Q12</f>
        <v>0.55712824245008541</v>
      </c>
    </row>
    <row r="24" spans="2:17" ht="14.25" customHeight="1" x14ac:dyDescent="0.3"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4"/>
      <c r="N24" s="44"/>
      <c r="O24" s="44"/>
      <c r="P24" s="44"/>
      <c r="Q24" s="44"/>
    </row>
    <row r="25" spans="2:17" ht="14.25" customHeight="1" x14ac:dyDescent="0.3">
      <c r="B25" s="36" t="s">
        <v>23</v>
      </c>
      <c r="C25" s="45">
        <f>Data!B27</f>
        <v>3364.96</v>
      </c>
      <c r="D25" s="45">
        <f>Data!C27</f>
        <v>3761.48</v>
      </c>
      <c r="E25" s="45">
        <f>Data!D27</f>
        <v>4170</v>
      </c>
      <c r="F25" s="45">
        <f>Data!E27</f>
        <v>4493.7299999999996</v>
      </c>
      <c r="G25" s="45">
        <f>Data!F27</f>
        <v>4010.39</v>
      </c>
      <c r="H25" s="45">
        <f>Data!G27</f>
        <v>3859.02</v>
      </c>
      <c r="I25" s="45">
        <f>Data!H27</f>
        <v>4371.6499999999996</v>
      </c>
      <c r="J25" s="45">
        <f>Data!I27</f>
        <v>4633.22</v>
      </c>
      <c r="K25" s="45">
        <f>Data!J27</f>
        <v>4702.4399999999996</v>
      </c>
      <c r="L25" s="45">
        <f>Data!K27</f>
        <v>5256.79</v>
      </c>
      <c r="M25" s="46">
        <f>_xlfn.FORECAST.LINEAR(M$3,$C25:$L25,$C$3:$L$3)</f>
        <v>5109.2665658374081</v>
      </c>
      <c r="N25" s="46">
        <f>_xlfn.FORECAST.LINEAR(N$3,$C25:$L25,$C$3:$L$3)</f>
        <v>5263.1714583097255</v>
      </c>
      <c r="O25" s="46">
        <f>_xlfn.FORECAST.LINEAR(O$3,$C25:$L25,$C$3:$L$3)</f>
        <v>5417.0763507820466</v>
      </c>
      <c r="P25" s="46">
        <f>_xlfn.FORECAST.LINEAR(P$3,$C25:$L25,$C$3:$L$3)</f>
        <v>5570.981243254364</v>
      </c>
      <c r="Q25" s="46">
        <f>_xlfn.FORECAST.LINEAR(Q$3,$C25:$L25,$C$3:$L$3)</f>
        <v>5724.8861357266851</v>
      </c>
    </row>
    <row r="26" spans="2:17" ht="14.25" customHeight="1" x14ac:dyDescent="0.3"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4"/>
      <c r="N26" s="44"/>
      <c r="O26" s="44"/>
      <c r="P26" s="44"/>
      <c r="Q26" s="44"/>
    </row>
    <row r="27" spans="2:17" ht="14.25" customHeight="1" x14ac:dyDescent="0.3">
      <c r="B27" s="49" t="s">
        <v>88</v>
      </c>
      <c r="C27" s="50">
        <f t="shared" ref="C27:L27" si="7">C22-C25</f>
        <v>152.71999999999844</v>
      </c>
      <c r="D27" s="50">
        <f t="shared" si="7"/>
        <v>-1100.4999999999995</v>
      </c>
      <c r="E27" s="50">
        <f t="shared" si="7"/>
        <v>-131.11999999999625</v>
      </c>
      <c r="F27" s="50">
        <f t="shared" si="7"/>
        <v>-322.21999999999935</v>
      </c>
      <c r="G27" s="50">
        <f t="shared" si="7"/>
        <v>165.56999999999744</v>
      </c>
      <c r="H27" s="50">
        <f t="shared" si="7"/>
        <v>49.670000000003256</v>
      </c>
      <c r="I27" s="50">
        <f t="shared" si="7"/>
        <v>-83.089999999994689</v>
      </c>
      <c r="J27" s="50">
        <f t="shared" si="7"/>
        <v>2315.6900000000041</v>
      </c>
      <c r="K27" s="50">
        <f t="shared" si="7"/>
        <v>3630.2899999999963</v>
      </c>
      <c r="L27" s="50">
        <f t="shared" si="7"/>
        <v>3203.3900000000003</v>
      </c>
      <c r="M27" s="51">
        <f>_xlfn.FORECAST.LINEAR(M$3,$C27:$L27,$C$3:$L$3)</f>
        <v>3234.6175743236963</v>
      </c>
      <c r="N27" s="51">
        <f>_xlfn.FORECAST.LINEAR(N$3,$C27:$L27,$C$3:$L$3)</f>
        <v>3679.2283856894719</v>
      </c>
      <c r="O27" s="51">
        <f>_xlfn.FORECAST.LINEAR(O$3,$C27:$L27,$C$3:$L$3)</f>
        <v>4123.8391970552402</v>
      </c>
      <c r="P27" s="51">
        <f>_xlfn.FORECAST.LINEAR(P$3,$C27:$L27,$C$3:$L$3)</f>
        <v>4568.4500084210085</v>
      </c>
      <c r="Q27" s="51">
        <f>_xlfn.FORECAST.LINEAR(Q$3,$C27:$L27,$C$3:$L$3)</f>
        <v>5013.0608197867841</v>
      </c>
    </row>
    <row r="28" spans="2:17" ht="14.25" customHeight="1" x14ac:dyDescent="0.3">
      <c r="B28" s="47" t="s">
        <v>89</v>
      </c>
      <c r="C28" s="48">
        <f t="shared" ref="C28:L28" si="8">C27/C7</f>
        <v>5.535822447701972E-3</v>
      </c>
      <c r="D28" s="48">
        <f t="shared" si="8"/>
        <v>-4.1001823006996556E-2</v>
      </c>
      <c r="E28" s="48">
        <f t="shared" si="8"/>
        <v>-4.3880638772518859E-3</v>
      </c>
      <c r="F28" s="48">
        <f t="shared" si="8"/>
        <v>-1.1059030345921587E-2</v>
      </c>
      <c r="G28" s="48">
        <f t="shared" si="8"/>
        <v>5.0627902802498409E-3</v>
      </c>
      <c r="H28" s="48">
        <f t="shared" si="8"/>
        <v>1.1600892850679029E-3</v>
      </c>
      <c r="I28" s="48">
        <f t="shared" si="8"/>
        <v>-1.5077370190174594E-3</v>
      </c>
      <c r="J28" s="48">
        <f t="shared" si="8"/>
        <v>3.7684808027483065E-2</v>
      </c>
      <c r="K28" s="48">
        <f t="shared" si="8"/>
        <v>5.5442693633793401E-2</v>
      </c>
      <c r="L28" s="48">
        <f t="shared" si="8"/>
        <v>5.1312868030496936E-2</v>
      </c>
      <c r="M28" s="48">
        <f>M27/M17</f>
        <v>0.24741557564402375</v>
      </c>
      <c r="N28" s="48">
        <f>N27/N17</f>
        <v>0.26351802123433926</v>
      </c>
      <c r="O28" s="48">
        <f>O27/O17</f>
        <v>0.27769398162181885</v>
      </c>
      <c r="P28" s="48">
        <f>P27/P17</f>
        <v>0.2902696679614169</v>
      </c>
      <c r="Q28" s="48">
        <f>Q27/Q17</f>
        <v>0.30150157668454453</v>
      </c>
    </row>
    <row r="29" spans="2:17" ht="14.25" customHeight="1" x14ac:dyDescent="0.3"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4"/>
      <c r="N29" s="44"/>
      <c r="O29" s="44"/>
      <c r="P29" s="44"/>
      <c r="Q29" s="44"/>
    </row>
    <row r="30" spans="2:17" ht="14.25" customHeight="1" x14ac:dyDescent="0.3">
      <c r="B30" s="36" t="s">
        <v>25</v>
      </c>
      <c r="C30" s="45">
        <f>Data!B29</f>
        <v>350.46</v>
      </c>
      <c r="D30" s="45">
        <f>Data!C29</f>
        <v>161.97</v>
      </c>
      <c r="E30" s="45">
        <f>Data!D29</f>
        <v>1087.5899999999999</v>
      </c>
      <c r="F30" s="45">
        <f>Data!E29</f>
        <v>641.49</v>
      </c>
      <c r="G30" s="45">
        <f>Data!F29</f>
        <v>501.88</v>
      </c>
      <c r="H30" s="45">
        <f>Data!G29</f>
        <v>379.56</v>
      </c>
      <c r="I30" s="45">
        <f>Data!H29</f>
        <v>1647.33</v>
      </c>
      <c r="J30" s="45">
        <f>Data!I29</f>
        <v>1451.92</v>
      </c>
      <c r="K30" s="45">
        <f>Data!J29</f>
        <v>1544.25</v>
      </c>
      <c r="L30" s="45">
        <f>Data!K29</f>
        <v>1518.43</v>
      </c>
      <c r="M30" s="46">
        <f>_xlfn.FORECAST.LINEAR(M$3,$C30:$L30,$C$3:$L$3)</f>
        <v>1758.4274394637832</v>
      </c>
      <c r="N30" s="46">
        <f>_xlfn.FORECAST.LINEAR(N$3,$C30:$L30,$C$3:$L$3)</f>
        <v>1909.2503896277267</v>
      </c>
      <c r="O30" s="46">
        <f>_xlfn.FORECAST.LINEAR(O$3,$C30:$L30,$C$3:$L$3)</f>
        <v>2060.0733397916702</v>
      </c>
      <c r="P30" s="46">
        <f>_xlfn.FORECAST.LINEAR(P$3,$C30:$L30,$C$3:$L$3)</f>
        <v>2210.8962899556136</v>
      </c>
      <c r="Q30" s="46">
        <f>_xlfn.FORECAST.LINEAR(Q$3,$C30:$L30,$C$3:$L$3)</f>
        <v>2361.7192401195571</v>
      </c>
    </row>
    <row r="31" spans="2:17" ht="14.25" customHeight="1" x14ac:dyDescent="0.3"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4"/>
      <c r="N31" s="44"/>
      <c r="O31" s="44"/>
      <c r="P31" s="44"/>
      <c r="Q31" s="44"/>
    </row>
    <row r="32" spans="2:17" ht="14.25" customHeight="1" x14ac:dyDescent="0.3">
      <c r="B32" s="49" t="s">
        <v>90</v>
      </c>
      <c r="C32" s="50">
        <f t="shared" ref="C32:L32" si="9">C27-C30</f>
        <v>-197.74000000000154</v>
      </c>
      <c r="D32" s="50">
        <f t="shared" si="9"/>
        <v>-1262.4699999999996</v>
      </c>
      <c r="E32" s="50">
        <f t="shared" si="9"/>
        <v>-1218.7099999999962</v>
      </c>
      <c r="F32" s="50">
        <f t="shared" si="9"/>
        <v>-963.70999999999935</v>
      </c>
      <c r="G32" s="50">
        <f t="shared" si="9"/>
        <v>-336.31000000000256</v>
      </c>
      <c r="H32" s="50">
        <f t="shared" si="9"/>
        <v>-329.88999999999675</v>
      </c>
      <c r="I32" s="50">
        <f t="shared" si="9"/>
        <v>-1730.4199999999946</v>
      </c>
      <c r="J32" s="50">
        <f t="shared" si="9"/>
        <v>863.77000000000407</v>
      </c>
      <c r="K32" s="50">
        <f t="shared" si="9"/>
        <v>2086.0399999999963</v>
      </c>
      <c r="L32" s="50">
        <f t="shared" si="9"/>
        <v>1684.9600000000003</v>
      </c>
      <c r="M32" s="51">
        <f>_xlfn.FORECAST.LINEAR(M$3,$C32:$L32,$C$3:$L$3)</f>
        <v>1476.1901348599204</v>
      </c>
      <c r="N32" s="51">
        <f>_xlfn.FORECAST.LINEAR(N$3,$C32:$L32,$C$3:$L$3)</f>
        <v>1769.9779960617525</v>
      </c>
      <c r="O32" s="51">
        <f>_xlfn.FORECAST.LINEAR(O$3,$C32:$L32,$C$3:$L$3)</f>
        <v>2063.7658572635773</v>
      </c>
      <c r="P32" s="51">
        <f>_xlfn.FORECAST.LINEAR(P$3,$C32:$L32,$C$3:$L$3)</f>
        <v>2357.5537184654022</v>
      </c>
      <c r="Q32" s="51">
        <f>_xlfn.FORECAST.LINEAR(Q$3,$C32:$L32,$C$3:$L$3)</f>
        <v>2651.3415796672343</v>
      </c>
    </row>
    <row r="33" spans="1:17" ht="14.25" customHeight="1" x14ac:dyDescent="0.3">
      <c r="B33" s="47" t="s">
        <v>91</v>
      </c>
      <c r="C33" s="48">
        <f t="shared" ref="C33:L33" si="10">C32/C7</f>
        <v>-7.1677156286577238E-3</v>
      </c>
      <c r="D33" s="48">
        <f t="shared" si="10"/>
        <v>-4.7036412077821853E-2</v>
      </c>
      <c r="E33" s="48">
        <f t="shared" si="10"/>
        <v>-4.078536705190499E-2</v>
      </c>
      <c r="F33" s="48">
        <f t="shared" si="10"/>
        <v>-3.3075843009956266E-2</v>
      </c>
      <c r="G33" s="48">
        <f t="shared" si="10"/>
        <v>-1.0283668533857966E-2</v>
      </c>
      <c r="H33" s="48">
        <f t="shared" si="10"/>
        <v>-7.7048893547618609E-3</v>
      </c>
      <c r="I33" s="48">
        <f t="shared" si="10"/>
        <v>-3.1399907238516676E-2</v>
      </c>
      <c r="J33" s="48">
        <f t="shared" si="10"/>
        <v>1.4056720299305667E-2</v>
      </c>
      <c r="K33" s="48">
        <f t="shared" si="10"/>
        <v>3.1858522770312647E-2</v>
      </c>
      <c r="L33" s="48">
        <f t="shared" si="10"/>
        <v>2.6990197920536092E-2</v>
      </c>
      <c r="M33" s="48">
        <f>M32/M22</f>
        <v>0.1769188198281258</v>
      </c>
      <c r="N33" s="48">
        <f>N32/N22</f>
        <v>0.197930983509924</v>
      </c>
      <c r="O33" s="48">
        <f>O32/O22</f>
        <v>0.21630689915617035</v>
      </c>
      <c r="P33" s="48">
        <f>P32/P22</f>
        <v>0.23251340829159947</v>
      </c>
      <c r="Q33" s="48">
        <f>Q32/Q22</f>
        <v>0.24691326849085291</v>
      </c>
    </row>
    <row r="35" spans="1:17" ht="14.25" customHeight="1" x14ac:dyDescent="0.3">
      <c r="A35" s="16" t="s">
        <v>75</v>
      </c>
      <c r="B35" s="42" t="s">
        <v>92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</row>
    <row r="36" spans="1:17" ht="14.25" customHeight="1" x14ac:dyDescent="0.3">
      <c r="B36" s="36" t="s">
        <v>93</v>
      </c>
      <c r="C36" s="52">
        <f>Data!B57</f>
        <v>270.5</v>
      </c>
      <c r="D36" s="52">
        <f>Data!C57</f>
        <v>270.5</v>
      </c>
      <c r="E36" s="52">
        <f>Data!D57</f>
        <v>270.5</v>
      </c>
      <c r="F36" s="52">
        <f>Data!E57</f>
        <v>270.5</v>
      </c>
      <c r="G36" s="52">
        <f>Data!F57</f>
        <v>319.56</v>
      </c>
      <c r="H36" s="52">
        <f>Data!G57</f>
        <v>319.56</v>
      </c>
      <c r="I36" s="52">
        <f>Data!H57</f>
        <v>319.56</v>
      </c>
      <c r="J36" s="52">
        <f>Data!I57</f>
        <v>319.56</v>
      </c>
      <c r="K36" s="52">
        <f>Data!J57</f>
        <v>319.56</v>
      </c>
      <c r="L36" s="52">
        <f>Data!K57</f>
        <v>319.56</v>
      </c>
      <c r="M36" s="46">
        <f t="shared" ref="M36:Q38" si="11">_xlfn.FORECAST.LINEAR(M$3,$C36:$L36,$C$3:$L$3)</f>
        <v>339.17569451315069</v>
      </c>
      <c r="N36" s="46">
        <f t="shared" si="11"/>
        <v>346.30663227630725</v>
      </c>
      <c r="O36" s="46">
        <f t="shared" si="11"/>
        <v>353.43757003946382</v>
      </c>
      <c r="P36" s="46">
        <f t="shared" si="11"/>
        <v>360.56850780262039</v>
      </c>
      <c r="Q36" s="46">
        <f t="shared" si="11"/>
        <v>367.69944556577695</v>
      </c>
    </row>
    <row r="37" spans="1:17" ht="14.25" customHeight="1" x14ac:dyDescent="0.3">
      <c r="B37" s="36" t="s">
        <v>44</v>
      </c>
      <c r="C37" s="52">
        <f>Data!B58</f>
        <v>12944.05</v>
      </c>
      <c r="D37" s="52">
        <f>Data!C58</f>
        <v>16129.38</v>
      </c>
      <c r="E37" s="52">
        <f>Data!D58</f>
        <v>18035.009999999998</v>
      </c>
      <c r="F37" s="52">
        <f>Data!E58</f>
        <v>19295.52</v>
      </c>
      <c r="G37" s="52">
        <f>Data!F58</f>
        <v>22002.7</v>
      </c>
      <c r="H37" s="52">
        <f>Data!G58</f>
        <v>22122</v>
      </c>
      <c r="I37" s="52">
        <f>Data!H58</f>
        <v>28467.87</v>
      </c>
      <c r="J37" s="52">
        <f>Data!I58</f>
        <v>32035.73</v>
      </c>
      <c r="K37" s="52">
        <f>Data!J58</f>
        <v>35521.11</v>
      </c>
      <c r="L37" s="52">
        <f>Data!K58</f>
        <v>39147.65</v>
      </c>
      <c r="M37" s="46">
        <f t="shared" si="11"/>
        <v>40207.446540768724</v>
      </c>
      <c r="N37" s="46">
        <f t="shared" si="11"/>
        <v>43049.184532992018</v>
      </c>
      <c r="O37" s="46">
        <f t="shared" si="11"/>
        <v>45890.92252521537</v>
      </c>
      <c r="P37" s="46">
        <f t="shared" si="11"/>
        <v>48732.660517438722</v>
      </c>
      <c r="Q37" s="46">
        <f t="shared" si="11"/>
        <v>51574.398509662075</v>
      </c>
    </row>
    <row r="38" spans="1:17" ht="14.25" customHeight="1" x14ac:dyDescent="0.3">
      <c r="B38" s="36" t="s">
        <v>94</v>
      </c>
      <c r="C38" s="52">
        <f>Data!B59</f>
        <v>48815.41</v>
      </c>
      <c r="D38" s="52">
        <f>Data!C59</f>
        <v>48589.24</v>
      </c>
      <c r="E38" s="52">
        <f>Data!D59</f>
        <v>48506.04</v>
      </c>
      <c r="F38" s="52">
        <f>Data!E59</f>
        <v>51936.15</v>
      </c>
      <c r="G38" s="52">
        <f>Data!F59</f>
        <v>46707.95</v>
      </c>
      <c r="H38" s="52">
        <f>Data!G59</f>
        <v>51195.12</v>
      </c>
      <c r="I38" s="52">
        <f>Data!H59</f>
        <v>52923</v>
      </c>
      <c r="J38" s="52">
        <f>Data!I59</f>
        <v>53689.45</v>
      </c>
      <c r="K38" s="52">
        <f>Data!J59</f>
        <v>62865.8</v>
      </c>
      <c r="L38" s="52">
        <f>Data!K59</f>
        <v>76141.27</v>
      </c>
      <c r="M38" s="46">
        <f t="shared" si="11"/>
        <v>66775.269437829993</v>
      </c>
      <c r="N38" s="46">
        <f t="shared" si="11"/>
        <v>69072.002895538724</v>
      </c>
      <c r="O38" s="46">
        <f t="shared" si="11"/>
        <v>71368.736353247397</v>
      </c>
      <c r="P38" s="46">
        <f t="shared" si="11"/>
        <v>73665.469810956129</v>
      </c>
      <c r="Q38" s="46">
        <f t="shared" si="11"/>
        <v>75962.20326866486</v>
      </c>
    </row>
    <row r="39" spans="1:17" ht="14.25" customHeight="1" x14ac:dyDescent="0.3"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46"/>
      <c r="N39" s="46"/>
      <c r="O39" s="46"/>
      <c r="P39" s="46"/>
      <c r="Q39" s="46"/>
    </row>
    <row r="40" spans="1:17" ht="14.25" customHeight="1" x14ac:dyDescent="0.3">
      <c r="B40" s="53" t="s">
        <v>95</v>
      </c>
      <c r="C40" s="53">
        <v>20</v>
      </c>
      <c r="D40" s="53">
        <v>22</v>
      </c>
      <c r="E40" s="53">
        <v>20</v>
      </c>
      <c r="F40" s="53">
        <v>18</v>
      </c>
      <c r="G40" s="53">
        <v>17</v>
      </c>
      <c r="H40" s="53">
        <v>20</v>
      </c>
      <c r="I40" s="53">
        <v>26</v>
      </c>
      <c r="J40" s="53">
        <v>218</v>
      </c>
      <c r="K40" s="53">
        <v>205</v>
      </c>
      <c r="L40" s="53">
        <v>207</v>
      </c>
      <c r="M40" s="46">
        <f t="shared" ref="M40:Q43" si="12">_xlfn.FORECAST.LINEAR(M$3,$C40:$L40,$C$3:$L$3)</f>
        <v>209.98476098244146</v>
      </c>
      <c r="N40" s="46">
        <f t="shared" si="12"/>
        <v>234.09725177586506</v>
      </c>
      <c r="O40" s="46">
        <f t="shared" si="12"/>
        <v>258.20974256928866</v>
      </c>
      <c r="P40" s="46">
        <f t="shared" si="12"/>
        <v>282.32223336271181</v>
      </c>
      <c r="Q40" s="46">
        <f t="shared" si="12"/>
        <v>306.43472415613542</v>
      </c>
    </row>
    <row r="41" spans="1:17" ht="14.25" customHeight="1" x14ac:dyDescent="0.3">
      <c r="B41" s="53" t="s">
        <v>96</v>
      </c>
      <c r="C41" s="54">
        <v>5685</v>
      </c>
      <c r="D41" s="54">
        <v>6186</v>
      </c>
      <c r="E41" s="54">
        <v>7170</v>
      </c>
      <c r="F41" s="54">
        <v>7206</v>
      </c>
      <c r="G41" s="54">
        <v>7535</v>
      </c>
      <c r="H41" s="54">
        <v>8802</v>
      </c>
      <c r="I41" s="54">
        <v>9068</v>
      </c>
      <c r="J41" s="54">
        <v>9574</v>
      </c>
      <c r="K41" s="54">
        <v>10486</v>
      </c>
      <c r="L41" s="54">
        <v>11315</v>
      </c>
      <c r="M41" s="46">
        <f t="shared" si="12"/>
        <v>11623.408317325608</v>
      </c>
      <c r="N41" s="46">
        <f t="shared" si="12"/>
        <v>12226.872860927222</v>
      </c>
      <c r="O41" s="46">
        <f t="shared" si="12"/>
        <v>12830.337404528836</v>
      </c>
      <c r="P41" s="46">
        <f t="shared" si="12"/>
        <v>13433.801948130451</v>
      </c>
      <c r="Q41" s="46">
        <f t="shared" si="12"/>
        <v>14037.266491732065</v>
      </c>
    </row>
    <row r="42" spans="1:17" ht="14.25" customHeight="1" x14ac:dyDescent="0.3">
      <c r="B42" s="53" t="s">
        <v>97</v>
      </c>
      <c r="C42" s="53">
        <v>45</v>
      </c>
      <c r="D42" s="53">
        <v>78</v>
      </c>
      <c r="E42" s="53">
        <v>62</v>
      </c>
      <c r="F42" s="53">
        <v>43</v>
      </c>
      <c r="G42" s="53">
        <v>158</v>
      </c>
      <c r="H42" s="53">
        <v>96</v>
      </c>
      <c r="I42" s="53">
        <v>119</v>
      </c>
      <c r="J42" s="53">
        <v>98</v>
      </c>
      <c r="K42" s="53">
        <v>91</v>
      </c>
      <c r="L42" s="53">
        <v>105</v>
      </c>
      <c r="M42" s="46">
        <f t="shared" si="12"/>
        <v>122.05737994131323</v>
      </c>
      <c r="N42" s="46">
        <f t="shared" si="12"/>
        <v>127.97395633094686</v>
      </c>
      <c r="O42" s="46">
        <f t="shared" si="12"/>
        <v>133.89053272058061</v>
      </c>
      <c r="P42" s="46">
        <f t="shared" si="12"/>
        <v>139.80710911021436</v>
      </c>
      <c r="Q42" s="46">
        <f t="shared" si="12"/>
        <v>145.7236854998481</v>
      </c>
    </row>
    <row r="43" spans="1:17" ht="14.25" customHeight="1" x14ac:dyDescent="0.3">
      <c r="B43" s="53" t="s">
        <v>98</v>
      </c>
      <c r="C43" s="54">
        <v>2293</v>
      </c>
      <c r="D43" s="54">
        <v>2399</v>
      </c>
      <c r="E43" s="54">
        <v>3329</v>
      </c>
      <c r="F43" s="54">
        <v>3396</v>
      </c>
      <c r="G43" s="54">
        <v>4214</v>
      </c>
      <c r="H43" s="54">
        <v>12148</v>
      </c>
      <c r="I43" s="54">
        <v>11189</v>
      </c>
      <c r="J43" s="54">
        <v>11664</v>
      </c>
      <c r="K43" s="54">
        <v>15005</v>
      </c>
      <c r="L43" s="54">
        <v>17186</v>
      </c>
      <c r="M43" s="46">
        <f t="shared" si="12"/>
        <v>18122.254506712605</v>
      </c>
      <c r="N43" s="46">
        <f t="shared" si="12"/>
        <v>19910.446388689248</v>
      </c>
      <c r="O43" s="46">
        <f t="shared" si="12"/>
        <v>21698.638270665921</v>
      </c>
      <c r="P43" s="46">
        <f t="shared" si="12"/>
        <v>23486.830152642564</v>
      </c>
      <c r="Q43" s="46">
        <f t="shared" si="12"/>
        <v>25275.022034619207</v>
      </c>
    </row>
    <row r="44" spans="1:17" ht="14.25" customHeight="1" x14ac:dyDescent="0.3">
      <c r="B44" s="55" t="s">
        <v>99</v>
      </c>
      <c r="C44" s="56">
        <f t="shared" ref="C44:P44" si="13">SUM(C40:C43)</f>
        <v>8043</v>
      </c>
      <c r="D44" s="56">
        <f t="shared" si="13"/>
        <v>8685</v>
      </c>
      <c r="E44" s="56">
        <f t="shared" si="13"/>
        <v>10581</v>
      </c>
      <c r="F44" s="56">
        <f t="shared" si="13"/>
        <v>10663</v>
      </c>
      <c r="G44" s="56">
        <f t="shared" si="13"/>
        <v>11924</v>
      </c>
      <c r="H44" s="56">
        <f t="shared" si="13"/>
        <v>21066</v>
      </c>
      <c r="I44" s="56">
        <f t="shared" si="13"/>
        <v>20402</v>
      </c>
      <c r="J44" s="56">
        <f t="shared" si="13"/>
        <v>21554</v>
      </c>
      <c r="K44" s="56">
        <f t="shared" si="13"/>
        <v>25787</v>
      </c>
      <c r="L44" s="56">
        <f t="shared" si="13"/>
        <v>28813</v>
      </c>
      <c r="M44" s="57">
        <f t="shared" si="13"/>
        <v>30077.704964961966</v>
      </c>
      <c r="N44" s="57">
        <f t="shared" si="13"/>
        <v>32499.390457723282</v>
      </c>
      <c r="O44" s="57">
        <f t="shared" si="13"/>
        <v>34921.075950484628</v>
      </c>
      <c r="P44" s="57">
        <f t="shared" si="13"/>
        <v>37342.761443245938</v>
      </c>
      <c r="Q44" s="46">
        <f>_xlfn.FORECAST.LINEAR(Q$3,$C44:$L44,$C$3:$L$3)</f>
        <v>39764.44693600724</v>
      </c>
    </row>
    <row r="46" spans="1:17" ht="14.25" customHeight="1" x14ac:dyDescent="0.3">
      <c r="B46" s="58" t="s">
        <v>100</v>
      </c>
      <c r="C46" s="59">
        <f>Data!B61</f>
        <v>82829.259999999995</v>
      </c>
      <c r="D46" s="59">
        <f>Data!C61</f>
        <v>81891.8</v>
      </c>
      <c r="E46" s="59">
        <f>Data!D61</f>
        <v>84073.44</v>
      </c>
      <c r="F46" s="59">
        <f>Data!E61</f>
        <v>89673.91</v>
      </c>
      <c r="G46" s="59">
        <f>Data!F61</f>
        <v>98654.84</v>
      </c>
      <c r="H46" s="59">
        <f>Data!G61</f>
        <v>112549.99</v>
      </c>
      <c r="I46" s="59">
        <f>Data!H61</f>
        <v>128096.14</v>
      </c>
      <c r="J46" s="59">
        <f>Data!I61</f>
        <v>139054.39999999999</v>
      </c>
      <c r="K46" s="59">
        <f>Data!J61</f>
        <v>156193.29999999999</v>
      </c>
      <c r="L46" s="59">
        <f>Data!K61</f>
        <v>174564.24</v>
      </c>
      <c r="M46" s="60">
        <f>_xlfn.FORECAST.LINEAR(M$3,$C46:$L46,$C$3:$L$3)</f>
        <v>173072.60641287803</v>
      </c>
      <c r="N46" s="60">
        <f>_xlfn.FORECAST.LINEAR(N$3,$C46:$L46,$C$3:$L$3)</f>
        <v>183669.95924369735</v>
      </c>
      <c r="O46" s="60">
        <f>_xlfn.FORECAST.LINEAR(O$3,$C46:$L46,$C$3:$L$3)</f>
        <v>194267.31207451643</v>
      </c>
      <c r="P46" s="60">
        <f>_xlfn.FORECAST.LINEAR(P$3,$C46:$L46,$C$3:$L$3)</f>
        <v>204864.66490533575</v>
      </c>
      <c r="Q46" s="60">
        <f>_xlfn.FORECAST.LINEAR(Q$3,$C46:$L46,$C$3:$L$3)</f>
        <v>215462.01773615507</v>
      </c>
    </row>
    <row r="47" spans="1:17" ht="14.25" customHeight="1" x14ac:dyDescent="0.3">
      <c r="C47" s="52"/>
      <c r="D47" s="52"/>
      <c r="E47" s="52"/>
      <c r="F47" s="52"/>
      <c r="G47" s="52"/>
      <c r="H47" s="52"/>
      <c r="I47" s="52"/>
      <c r="J47" s="52"/>
      <c r="K47" s="52"/>
      <c r="L47" s="52"/>
    </row>
    <row r="48" spans="1:17" ht="14.25" customHeight="1" x14ac:dyDescent="0.3">
      <c r="B48" s="22" t="s">
        <v>48</v>
      </c>
      <c r="C48" s="52">
        <f>Data!B62</f>
        <v>46594.79</v>
      </c>
      <c r="D48" s="52">
        <f>Data!C62</f>
        <v>44656.26</v>
      </c>
      <c r="E48" s="52">
        <f>Data!D62</f>
        <v>44304.89</v>
      </c>
      <c r="F48" s="52">
        <f>Data!E62</f>
        <v>47666.36</v>
      </c>
      <c r="G48" s="52">
        <f>Data!F62</f>
        <v>52179.15</v>
      </c>
      <c r="H48" s="52">
        <f>Data!G62</f>
        <v>57389.440000000002</v>
      </c>
      <c r="I48" s="52">
        <f>Data!H62</f>
        <v>61746.66</v>
      </c>
      <c r="J48" s="52">
        <f>Data!I62</f>
        <v>67209.56</v>
      </c>
      <c r="K48" s="52">
        <f>Data!J62</f>
        <v>78374.429999999993</v>
      </c>
      <c r="L48" s="52">
        <f>Data!K62</f>
        <v>87292.69</v>
      </c>
      <c r="M48" s="46">
        <f t="shared" ref="M48:Q56" si="14">_xlfn.FORECAST.LINEAR(M$3,$C48:$L48,$C$3:$L$3)</f>
        <v>84212.452001569269</v>
      </c>
      <c r="N48" s="46">
        <f t="shared" si="14"/>
        <v>88841.242435013468</v>
      </c>
      <c r="O48" s="46">
        <f t="shared" si="14"/>
        <v>93470.032868457667</v>
      </c>
      <c r="P48" s="46">
        <f t="shared" si="14"/>
        <v>98098.823301901983</v>
      </c>
      <c r="Q48" s="46">
        <f t="shared" si="14"/>
        <v>102727.61373534618</v>
      </c>
    </row>
    <row r="49" spans="1:17" ht="14.25" customHeight="1" x14ac:dyDescent="0.3">
      <c r="B49" s="22" t="s">
        <v>49</v>
      </c>
      <c r="C49" s="52">
        <f>Data!B63</f>
        <v>2177.92</v>
      </c>
      <c r="D49" s="52">
        <f>Data!C63</f>
        <v>1652.6</v>
      </c>
      <c r="E49" s="52">
        <f>Data!D63</f>
        <v>2575.6999999999998</v>
      </c>
      <c r="F49" s="52">
        <f>Data!E63</f>
        <v>1611.52</v>
      </c>
      <c r="G49" s="52">
        <f>Data!F63</f>
        <v>3270.26</v>
      </c>
      <c r="H49" s="52">
        <f>Data!G63</f>
        <v>4635.1000000000004</v>
      </c>
      <c r="I49" s="52">
        <f>Data!H63</f>
        <v>5376.36</v>
      </c>
      <c r="J49" s="52">
        <f>Data!I63</f>
        <v>11561.31</v>
      </c>
      <c r="K49" s="52">
        <f>Data!J63</f>
        <v>12678.87</v>
      </c>
      <c r="L49" s="52">
        <f>Data!K63</f>
        <v>14595.13</v>
      </c>
      <c r="M49" s="46">
        <f t="shared" si="14"/>
        <v>14229.572113174625</v>
      </c>
      <c r="N49" s="46">
        <f t="shared" si="14"/>
        <v>15722.663831526006</v>
      </c>
      <c r="O49" s="46">
        <f t="shared" si="14"/>
        <v>17215.755549877358</v>
      </c>
      <c r="P49" s="46">
        <f t="shared" si="14"/>
        <v>18708.847268228739</v>
      </c>
      <c r="Q49" s="46">
        <f t="shared" si="14"/>
        <v>20201.93898658012</v>
      </c>
    </row>
    <row r="50" spans="1:17" ht="14.25" customHeight="1" x14ac:dyDescent="0.3">
      <c r="B50" s="22" t="s">
        <v>50</v>
      </c>
      <c r="C50" s="52">
        <f>Data!B64</f>
        <v>11873.01</v>
      </c>
      <c r="D50" s="52">
        <f>Data!C64</f>
        <v>12428.93</v>
      </c>
      <c r="E50" s="52">
        <f>Data!D64</f>
        <v>13541.87</v>
      </c>
      <c r="F50" s="52">
        <f>Data!E64</f>
        <v>14534.84</v>
      </c>
      <c r="G50" s="52">
        <f>Data!F64</f>
        <v>13149.05</v>
      </c>
      <c r="H50" s="52">
        <f>Data!G64</f>
        <v>14160.33</v>
      </c>
      <c r="I50" s="52">
        <f>Data!H64</f>
        <v>16669.689999999999</v>
      </c>
      <c r="J50" s="52">
        <f>Data!I64</f>
        <v>16315.99</v>
      </c>
      <c r="K50" s="52">
        <f>Data!J64</f>
        <v>16316.39</v>
      </c>
      <c r="L50" s="52">
        <f>Data!K64</f>
        <v>16574.54</v>
      </c>
      <c r="M50" s="46">
        <f t="shared" si="14"/>
        <v>17582.906198413948</v>
      </c>
      <c r="N50" s="46">
        <f t="shared" si="14"/>
        <v>18132.894449557141</v>
      </c>
      <c r="O50" s="46">
        <f t="shared" si="14"/>
        <v>18682.88270070032</v>
      </c>
      <c r="P50" s="46">
        <f t="shared" si="14"/>
        <v>19232.870951843513</v>
      </c>
      <c r="Q50" s="46">
        <f t="shared" si="14"/>
        <v>19782.859202986692</v>
      </c>
    </row>
    <row r="51" spans="1:17" ht="14.25" customHeight="1" x14ac:dyDescent="0.3">
      <c r="B51" s="22" t="s">
        <v>51</v>
      </c>
      <c r="C51" s="52">
        <f>Data!B65-SUM(Data!B67:B69)</f>
        <v>15797.560000000001</v>
      </c>
      <c r="D51" s="52">
        <f>Data!C65-SUM(Data!C67:C69)</f>
        <v>17556.219999999998</v>
      </c>
      <c r="E51" s="52">
        <f>Data!D65-SUM(Data!D67:D69)</f>
        <v>16711.849999999999</v>
      </c>
      <c r="F51" s="52">
        <f>Data!E65-SUM(Data!E67:E69)</f>
        <v>17588.759999999998</v>
      </c>
      <c r="G51" s="52">
        <f>Data!F65-SUM(Data!F67:F69)</f>
        <v>17100.010000000002</v>
      </c>
      <c r="H51" s="52">
        <f>Data!G65-SUM(Data!G67:G69)</f>
        <v>19513.160000000003</v>
      </c>
      <c r="I51" s="52">
        <f>Data!H65-SUM(Data!H67:H69)</f>
        <v>22201.870000000003</v>
      </c>
      <c r="J51" s="52">
        <f>Data!I65-SUM(Data!I67:I69)</f>
        <v>22994.31</v>
      </c>
      <c r="K51" s="52">
        <f>Data!J65-SUM(Data!J67:J69)</f>
        <v>26791.030000000002</v>
      </c>
      <c r="L51" s="52">
        <f>Data!K65-SUM(Data!K67:K69)</f>
        <v>32926.28</v>
      </c>
      <c r="M51" s="46">
        <f t="shared" si="14"/>
        <v>29798.335508288234</v>
      </c>
      <c r="N51" s="46">
        <f t="shared" si="14"/>
        <v>31412.118996227073</v>
      </c>
      <c r="O51" s="46">
        <f t="shared" si="14"/>
        <v>33025.902484165941</v>
      </c>
      <c r="P51" s="46">
        <f t="shared" si="14"/>
        <v>34639.68597210478</v>
      </c>
      <c r="Q51" s="46">
        <f t="shared" si="14"/>
        <v>36253.469460043649</v>
      </c>
    </row>
    <row r="52" spans="1:17" ht="14.25" customHeight="1" x14ac:dyDescent="0.3">
      <c r="B52" s="61" t="s">
        <v>101</v>
      </c>
      <c r="C52" s="62">
        <f t="shared" ref="C52:L52" si="15">SUM(C48:C51)</f>
        <v>76443.28</v>
      </c>
      <c r="D52" s="62">
        <f t="shared" si="15"/>
        <v>76294.009999999995</v>
      </c>
      <c r="E52" s="62">
        <f t="shared" si="15"/>
        <v>77134.31</v>
      </c>
      <c r="F52" s="62">
        <f t="shared" si="15"/>
        <v>81401.48</v>
      </c>
      <c r="G52" s="62">
        <f t="shared" si="15"/>
        <v>85698.47</v>
      </c>
      <c r="H52" s="62">
        <f t="shared" si="15"/>
        <v>95698.03</v>
      </c>
      <c r="I52" s="62">
        <f t="shared" si="15"/>
        <v>105994.58000000002</v>
      </c>
      <c r="J52" s="62">
        <f t="shared" si="15"/>
        <v>118081.17</v>
      </c>
      <c r="K52" s="62">
        <f t="shared" si="15"/>
        <v>134160.72</v>
      </c>
      <c r="L52" s="62">
        <f t="shared" si="15"/>
        <v>151388.64000000001</v>
      </c>
      <c r="M52" s="63">
        <f t="shared" si="14"/>
        <v>145823.26582144608</v>
      </c>
      <c r="N52" s="63">
        <f t="shared" si="14"/>
        <v>154108.91971232381</v>
      </c>
      <c r="O52" s="63">
        <f t="shared" si="14"/>
        <v>162394.57360320131</v>
      </c>
      <c r="P52" s="63">
        <f t="shared" si="14"/>
        <v>170680.22749407904</v>
      </c>
      <c r="Q52" s="63">
        <f t="shared" si="14"/>
        <v>178965.88138495677</v>
      </c>
    </row>
    <row r="53" spans="1:17" ht="14.25" customHeight="1" x14ac:dyDescent="0.3">
      <c r="B53" s="22" t="s">
        <v>102</v>
      </c>
      <c r="C53" s="52">
        <f>Data!B67</f>
        <v>3832.12</v>
      </c>
      <c r="D53" s="52">
        <f>Data!C67</f>
        <v>2788.93</v>
      </c>
      <c r="E53" s="52">
        <f>Data!D67</f>
        <v>4445.26</v>
      </c>
      <c r="F53" s="52">
        <f>Data!E67</f>
        <v>4425.8999999999996</v>
      </c>
      <c r="G53" s="52">
        <f>Data!F67</f>
        <v>5200.08</v>
      </c>
      <c r="H53" s="52">
        <f>Data!G67</f>
        <v>5979.74</v>
      </c>
      <c r="I53" s="52">
        <f>Data!H67</f>
        <v>6952.15</v>
      </c>
      <c r="J53" s="52">
        <f>Data!I67</f>
        <v>7401.69</v>
      </c>
      <c r="K53" s="52">
        <f>Data!J67</f>
        <v>5709.78</v>
      </c>
      <c r="L53" s="52">
        <f>Data!K67</f>
        <v>4423.96</v>
      </c>
      <c r="M53" s="46">
        <f t="shared" si="14"/>
        <v>6746.1164207180009</v>
      </c>
      <c r="N53" s="46">
        <f t="shared" si="14"/>
        <v>7042.3607466139765</v>
      </c>
      <c r="O53" s="46">
        <f t="shared" si="14"/>
        <v>7338.6050725099594</v>
      </c>
      <c r="P53" s="46">
        <f t="shared" si="14"/>
        <v>7634.8493984059351</v>
      </c>
      <c r="Q53" s="46">
        <f t="shared" si="14"/>
        <v>7931.0937243019107</v>
      </c>
    </row>
    <row r="54" spans="1:17" ht="14.25" customHeight="1" x14ac:dyDescent="0.3">
      <c r="B54" s="22" t="s">
        <v>54</v>
      </c>
      <c r="C54" s="52">
        <f>Data!B68</f>
        <v>1599.56</v>
      </c>
      <c r="D54" s="52">
        <f>Data!C68</f>
        <v>1623.08</v>
      </c>
      <c r="E54" s="52">
        <f>Data!D68</f>
        <v>1706.42</v>
      </c>
      <c r="F54" s="52">
        <f>Data!E68</f>
        <v>1752.35</v>
      </c>
      <c r="G54" s="52">
        <f>Data!F68</f>
        <v>1885.62</v>
      </c>
      <c r="H54" s="52">
        <f>Data!G68</f>
        <v>4231.5200000000004</v>
      </c>
      <c r="I54" s="52">
        <f>Data!H68</f>
        <v>3942.88</v>
      </c>
      <c r="J54" s="52">
        <f>Data!I68</f>
        <v>4419.63</v>
      </c>
      <c r="K54" s="52">
        <f>Data!J68</f>
        <v>4571.82</v>
      </c>
      <c r="L54" s="52">
        <f>Data!K68</f>
        <v>5107.6400000000003</v>
      </c>
      <c r="M54" s="46">
        <f t="shared" si="14"/>
        <v>5573.4092596935297</v>
      </c>
      <c r="N54" s="46">
        <f t="shared" si="14"/>
        <v>6025.7943230682577</v>
      </c>
      <c r="O54" s="46">
        <f t="shared" si="14"/>
        <v>6478.1793864429856</v>
      </c>
      <c r="P54" s="46">
        <f t="shared" si="14"/>
        <v>6930.5644498177135</v>
      </c>
      <c r="Q54" s="46">
        <f t="shared" si="14"/>
        <v>7382.9495131924414</v>
      </c>
    </row>
    <row r="55" spans="1:17" ht="14.25" customHeight="1" x14ac:dyDescent="0.3">
      <c r="B55" s="22" t="s">
        <v>103</v>
      </c>
      <c r="C55" s="52">
        <f>Data!B69</f>
        <v>954.3</v>
      </c>
      <c r="D55" s="52">
        <f>Data!C69</f>
        <v>1185.78</v>
      </c>
      <c r="E55" s="52">
        <f>Data!D69</f>
        <v>787.45</v>
      </c>
      <c r="F55" s="52">
        <f>Data!E69</f>
        <v>2094.1799999999998</v>
      </c>
      <c r="G55" s="52">
        <f>Data!F69</f>
        <v>5870.67</v>
      </c>
      <c r="H55" s="52">
        <f>Data!G69</f>
        <v>6640.7</v>
      </c>
      <c r="I55" s="52">
        <f>Data!H69</f>
        <v>11206.53</v>
      </c>
      <c r="J55" s="52">
        <f>Data!I69</f>
        <v>9151.91</v>
      </c>
      <c r="K55" s="52">
        <f>Data!J69</f>
        <v>11750.98</v>
      </c>
      <c r="L55" s="52">
        <f>Data!K69</f>
        <v>13644</v>
      </c>
      <c r="M55" s="46">
        <f t="shared" si="14"/>
        <v>14929.8149110206</v>
      </c>
      <c r="N55" s="46">
        <f t="shared" si="14"/>
        <v>16492.884461691516</v>
      </c>
      <c r="O55" s="46">
        <f t="shared" si="14"/>
        <v>18055.954012362432</v>
      </c>
      <c r="P55" s="46">
        <f t="shared" si="14"/>
        <v>19619.023563033348</v>
      </c>
      <c r="Q55" s="46">
        <f t="shared" si="14"/>
        <v>21182.093113704264</v>
      </c>
    </row>
    <row r="56" spans="1:17" ht="14.25" customHeight="1" x14ac:dyDescent="0.3">
      <c r="B56" s="61" t="s">
        <v>104</v>
      </c>
      <c r="C56" s="62">
        <f t="shared" ref="C56:L56" si="16">SUM(C53:C55)</f>
        <v>6385.9800000000005</v>
      </c>
      <c r="D56" s="62">
        <f t="shared" si="16"/>
        <v>5597.79</v>
      </c>
      <c r="E56" s="62">
        <f t="shared" si="16"/>
        <v>6939.13</v>
      </c>
      <c r="F56" s="62">
        <f t="shared" si="16"/>
        <v>8272.43</v>
      </c>
      <c r="G56" s="62">
        <f t="shared" si="16"/>
        <v>12956.369999999999</v>
      </c>
      <c r="H56" s="62">
        <f t="shared" si="16"/>
        <v>16851.96</v>
      </c>
      <c r="I56" s="62">
        <f t="shared" si="16"/>
        <v>22101.559999999998</v>
      </c>
      <c r="J56" s="62">
        <f t="shared" si="16"/>
        <v>20973.23</v>
      </c>
      <c r="K56" s="62">
        <f t="shared" si="16"/>
        <v>22032.579999999998</v>
      </c>
      <c r="L56" s="62">
        <f t="shared" si="16"/>
        <v>23175.599999999999</v>
      </c>
      <c r="M56" s="63">
        <f t="shared" si="14"/>
        <v>27249.340591432177</v>
      </c>
      <c r="N56" s="63">
        <f t="shared" si="14"/>
        <v>29561.039531373768</v>
      </c>
      <c r="O56" s="63">
        <f t="shared" si="14"/>
        <v>31872.738471315417</v>
      </c>
      <c r="P56" s="63">
        <f t="shared" si="14"/>
        <v>34184.437411257008</v>
      </c>
      <c r="Q56" s="63">
        <f t="shared" si="14"/>
        <v>36496.136351198656</v>
      </c>
    </row>
    <row r="57" spans="1:17" ht="14.25" customHeight="1" x14ac:dyDescent="0.3">
      <c r="B57" s="64"/>
      <c r="C57" s="65"/>
      <c r="D57" s="65"/>
      <c r="E57" s="65"/>
      <c r="F57" s="65"/>
      <c r="G57" s="65"/>
      <c r="H57" s="65"/>
      <c r="I57" s="65"/>
      <c r="J57" s="65"/>
      <c r="K57" s="65"/>
      <c r="L57" s="65"/>
    </row>
    <row r="58" spans="1:17" ht="14.25" customHeight="1" x14ac:dyDescent="0.3">
      <c r="B58" s="58" t="s">
        <v>105</v>
      </c>
      <c r="C58" s="59">
        <f t="shared" ref="C58:L58" si="17">C52+C56</f>
        <v>82829.259999999995</v>
      </c>
      <c r="D58" s="59">
        <f t="shared" si="17"/>
        <v>81891.799999999988</v>
      </c>
      <c r="E58" s="59">
        <f t="shared" si="17"/>
        <v>84073.44</v>
      </c>
      <c r="F58" s="59">
        <f t="shared" si="17"/>
        <v>89673.91</v>
      </c>
      <c r="G58" s="59">
        <f t="shared" si="17"/>
        <v>98654.84</v>
      </c>
      <c r="H58" s="59">
        <f t="shared" si="17"/>
        <v>112549.98999999999</v>
      </c>
      <c r="I58" s="59">
        <f t="shared" si="17"/>
        <v>128096.14000000001</v>
      </c>
      <c r="J58" s="59">
        <f t="shared" si="17"/>
        <v>139054.39999999999</v>
      </c>
      <c r="K58" s="59">
        <f t="shared" si="17"/>
        <v>156193.29999999999</v>
      </c>
      <c r="L58" s="59">
        <f t="shared" si="17"/>
        <v>174564.24000000002</v>
      </c>
      <c r="M58" s="60">
        <f>_xlfn.FORECAST.LINEAR(M$3,$C58:$L58,$C$3:$L$3)</f>
        <v>173072.60641287826</v>
      </c>
      <c r="N58" s="60">
        <f>_xlfn.FORECAST.LINEAR(N$3,$C58:$L58,$C$3:$L$3)</f>
        <v>183669.95924369735</v>
      </c>
      <c r="O58" s="60">
        <f>_xlfn.FORECAST.LINEAR(O$3,$C58:$L58,$C$3:$L$3)</f>
        <v>194267.31207451667</v>
      </c>
      <c r="P58" s="60">
        <f>_xlfn.FORECAST.LINEAR(P$3,$C58:$L58,$C$3:$L$3)</f>
        <v>204864.66490533599</v>
      </c>
      <c r="Q58" s="60">
        <f>_xlfn.FORECAST.LINEAR(Q$3,$C58:$L58,$C$3:$L$3)</f>
        <v>215462.01773615531</v>
      </c>
    </row>
    <row r="60" spans="1:17" ht="14.25" customHeight="1" x14ac:dyDescent="0.3">
      <c r="A60" s="16" t="s">
        <v>75</v>
      </c>
      <c r="B60" s="42" t="s">
        <v>106</v>
      </c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</row>
    <row r="61" spans="1:17" ht="14.25" customHeight="1" x14ac:dyDescent="0.3">
      <c r="A61" s="16"/>
      <c r="B61" s="64"/>
      <c r="C61" s="67"/>
      <c r="D61" s="67"/>
      <c r="E61" s="67"/>
      <c r="F61" s="67"/>
      <c r="G61" s="67"/>
      <c r="H61" s="67"/>
      <c r="I61" s="67"/>
      <c r="J61" s="67"/>
      <c r="K61" s="67"/>
      <c r="L61" s="67"/>
    </row>
    <row r="62" spans="1:17" ht="14.25" customHeight="1" x14ac:dyDescent="0.3">
      <c r="B62" s="68" t="s">
        <v>107</v>
      </c>
    </row>
    <row r="63" spans="1:17" ht="14.25" customHeight="1" x14ac:dyDescent="0.3">
      <c r="B63" s="53" t="s">
        <v>108</v>
      </c>
      <c r="C63" s="69">
        <v>6025</v>
      </c>
      <c r="D63" s="69">
        <v>6512</v>
      </c>
      <c r="E63" s="69">
        <v>7485</v>
      </c>
      <c r="F63" s="69">
        <v>8909</v>
      </c>
      <c r="G63" s="69">
        <v>9723</v>
      </c>
      <c r="H63" s="69">
        <v>11672</v>
      </c>
      <c r="I63" s="69">
        <v>12829</v>
      </c>
      <c r="J63" s="69">
        <v>14089</v>
      </c>
      <c r="K63" s="69">
        <v>14537</v>
      </c>
      <c r="L63" s="69">
        <v>14942</v>
      </c>
      <c r="M63" s="46">
        <f t="shared" ref="M63:Q74" si="18">_xlfn.FORECAST.LINEAR(M$3,$C63:$L63,$C$3:$L$3)</f>
        <v>16776.360237074827</v>
      </c>
      <c r="N63" s="46">
        <f t="shared" si="18"/>
        <v>17885.636804927621</v>
      </c>
      <c r="O63" s="46">
        <f t="shared" si="18"/>
        <v>18994.913372780386</v>
      </c>
      <c r="P63" s="46">
        <f t="shared" si="18"/>
        <v>20104.18994063318</v>
      </c>
      <c r="Q63" s="46">
        <f t="shared" si="18"/>
        <v>21213.466508485944</v>
      </c>
    </row>
    <row r="64" spans="1:17" ht="14.25" customHeight="1" x14ac:dyDescent="0.3">
      <c r="B64" s="53" t="s">
        <v>102</v>
      </c>
      <c r="C64" s="69">
        <v>-257</v>
      </c>
      <c r="D64" s="69">
        <v>173</v>
      </c>
      <c r="E64" s="69">
        <v>0</v>
      </c>
      <c r="F64" s="69">
        <v>0</v>
      </c>
      <c r="G64" s="69">
        <v>0</v>
      </c>
      <c r="H64" s="69">
        <v>0</v>
      </c>
      <c r="I64" s="69">
        <v>0</v>
      </c>
      <c r="J64" s="69">
        <v>0</v>
      </c>
      <c r="K64" s="69">
        <v>0</v>
      </c>
      <c r="L64" s="69">
        <v>0</v>
      </c>
      <c r="M64" s="46">
        <f t="shared" si="18"/>
        <v>28.315751433132277</v>
      </c>
      <c r="N64" s="46">
        <f t="shared" si="18"/>
        <v>34.988018932805289</v>
      </c>
      <c r="O64" s="46">
        <f t="shared" si="18"/>
        <v>41.660286432478301</v>
      </c>
      <c r="P64" s="46">
        <f t="shared" si="18"/>
        <v>48.332553932151427</v>
      </c>
      <c r="Q64" s="46">
        <f t="shared" si="18"/>
        <v>55.004821431824439</v>
      </c>
    </row>
    <row r="65" spans="2:17" ht="14.25" customHeight="1" x14ac:dyDescent="0.3">
      <c r="B65" s="53" t="s">
        <v>54</v>
      </c>
      <c r="C65" s="69">
        <v>89</v>
      </c>
      <c r="D65" s="69">
        <v>37</v>
      </c>
      <c r="E65" s="69">
        <v>-146</v>
      </c>
      <c r="F65" s="69">
        <v>-195</v>
      </c>
      <c r="G65" s="69">
        <v>-331</v>
      </c>
      <c r="H65" s="69">
        <v>-543</v>
      </c>
      <c r="I65" s="69">
        <v>-758</v>
      </c>
      <c r="J65" s="69">
        <v>-339</v>
      </c>
      <c r="K65" s="69">
        <v>74</v>
      </c>
      <c r="L65" s="69">
        <v>-584</v>
      </c>
      <c r="M65" s="46">
        <f t="shared" si="18"/>
        <v>-558.29253430175231</v>
      </c>
      <c r="N65" s="46">
        <f t="shared" si="18"/>
        <v>-610.75595228539169</v>
      </c>
      <c r="O65" s="46">
        <f t="shared" si="18"/>
        <v>-663.21937026903106</v>
      </c>
      <c r="P65" s="46">
        <f t="shared" si="18"/>
        <v>-715.68278825266952</v>
      </c>
      <c r="Q65" s="46">
        <f t="shared" si="18"/>
        <v>-768.1462062363089</v>
      </c>
    </row>
    <row r="66" spans="2:17" ht="14.25" customHeight="1" x14ac:dyDescent="0.3">
      <c r="B66" s="53" t="s">
        <v>109</v>
      </c>
      <c r="C66" s="69">
        <v>164</v>
      </c>
      <c r="D66" s="69">
        <v>501</v>
      </c>
      <c r="E66" s="69">
        <v>0</v>
      </c>
      <c r="F66" s="69">
        <v>0</v>
      </c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46">
        <f t="shared" si="18"/>
        <v>-99.572537828791155</v>
      </c>
      <c r="N66" s="46">
        <f t="shared" si="18"/>
        <v>-129.7525110961592</v>
      </c>
      <c r="O66" s="46">
        <f t="shared" si="18"/>
        <v>-159.93248436352724</v>
      </c>
      <c r="P66" s="46">
        <f t="shared" si="18"/>
        <v>-190.11245763089528</v>
      </c>
      <c r="Q66" s="46">
        <f t="shared" si="18"/>
        <v>-220.29243089826332</v>
      </c>
    </row>
    <row r="67" spans="2:17" ht="14.25" customHeight="1" x14ac:dyDescent="0.3">
      <c r="B67" s="53" t="s">
        <v>110</v>
      </c>
      <c r="C67" s="69">
        <v>0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46">
        <f t="shared" si="18"/>
        <v>0</v>
      </c>
      <c r="N67" s="46">
        <f t="shared" si="18"/>
        <v>0</v>
      </c>
      <c r="O67" s="46">
        <f t="shared" si="18"/>
        <v>0</v>
      </c>
      <c r="P67" s="46">
        <f t="shared" si="18"/>
        <v>0</v>
      </c>
      <c r="Q67" s="46">
        <f t="shared" si="18"/>
        <v>0</v>
      </c>
    </row>
    <row r="68" spans="2:17" ht="14.25" customHeight="1" x14ac:dyDescent="0.3">
      <c r="B68" s="53" t="s">
        <v>111</v>
      </c>
      <c r="C68" s="69">
        <v>0</v>
      </c>
      <c r="D68" s="69">
        <v>-46</v>
      </c>
      <c r="E68" s="69">
        <v>0</v>
      </c>
      <c r="F68" s="69">
        <v>0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46">
        <f t="shared" si="18"/>
        <v>6.1321112805428868</v>
      </c>
      <c r="N68" s="46">
        <f t="shared" si="18"/>
        <v>8.082432723111026</v>
      </c>
      <c r="O68" s="46">
        <f t="shared" si="18"/>
        <v>10.032754165679194</v>
      </c>
      <c r="P68" s="46">
        <f t="shared" si="18"/>
        <v>11.983075608247361</v>
      </c>
      <c r="Q68" s="46">
        <f t="shared" si="18"/>
        <v>13.933397050815529</v>
      </c>
    </row>
    <row r="69" spans="2:17" ht="14.25" customHeight="1" x14ac:dyDescent="0.3">
      <c r="B69" s="53" t="s">
        <v>112</v>
      </c>
      <c r="C69" s="69">
        <v>-77</v>
      </c>
      <c r="D69" s="69">
        <v>-99</v>
      </c>
      <c r="E69" s="69">
        <v>982</v>
      </c>
      <c r="F69" s="69">
        <v>-147</v>
      </c>
      <c r="G69" s="69">
        <v>742</v>
      </c>
      <c r="H69" s="69">
        <v>442</v>
      </c>
      <c r="I69" s="69">
        <v>-242</v>
      </c>
      <c r="J69" s="69">
        <v>-621</v>
      </c>
      <c r="K69" s="69">
        <v>1239</v>
      </c>
      <c r="L69" s="69">
        <v>-204</v>
      </c>
      <c r="M69" s="46">
        <f t="shared" si="18"/>
        <v>188.87305820337144</v>
      </c>
      <c r="N69" s="46">
        <f t="shared" si="18"/>
        <v>186.57839364983926</v>
      </c>
      <c r="O69" s="46">
        <f t="shared" si="18"/>
        <v>184.28372909630701</v>
      </c>
      <c r="P69" s="46">
        <f t="shared" si="18"/>
        <v>181.98906454277483</v>
      </c>
      <c r="Q69" s="46">
        <f t="shared" si="18"/>
        <v>179.69439998924264</v>
      </c>
    </row>
    <row r="70" spans="2:17" ht="14.25" customHeight="1" x14ac:dyDescent="0.3">
      <c r="B70" s="53" t="s">
        <v>113</v>
      </c>
      <c r="C70" s="69">
        <v>-81</v>
      </c>
      <c r="D70" s="69">
        <v>566</v>
      </c>
      <c r="E70" s="69">
        <v>836</v>
      </c>
      <c r="F70" s="69">
        <v>-342</v>
      </c>
      <c r="G70" s="69">
        <v>411</v>
      </c>
      <c r="H70" s="69">
        <v>-101</v>
      </c>
      <c r="I70" s="69">
        <v>-1000</v>
      </c>
      <c r="J70" s="69">
        <v>-960</v>
      </c>
      <c r="K70" s="69">
        <v>1313</v>
      </c>
      <c r="L70" s="69">
        <v>-788</v>
      </c>
      <c r="M70" s="46">
        <f t="shared" si="18"/>
        <v>-434.54415121349666</v>
      </c>
      <c r="N70" s="46">
        <f t="shared" si="18"/>
        <v>-510.85961807579406</v>
      </c>
      <c r="O70" s="46">
        <f t="shared" si="18"/>
        <v>-587.17508493809328</v>
      </c>
      <c r="P70" s="46">
        <f t="shared" si="18"/>
        <v>-663.49055180039068</v>
      </c>
      <c r="Q70" s="46">
        <f t="shared" si="18"/>
        <v>-739.80601866268989</v>
      </c>
    </row>
    <row r="71" spans="2:17" ht="14.25" customHeight="1" x14ac:dyDescent="0.3">
      <c r="B71" s="53" t="s">
        <v>114</v>
      </c>
      <c r="C71" s="69">
        <v>-1765</v>
      </c>
      <c r="D71" s="69">
        <v>-1859</v>
      </c>
      <c r="E71" s="69">
        <v>-2264</v>
      </c>
      <c r="F71" s="69">
        <v>-2767</v>
      </c>
      <c r="G71" s="69">
        <v>-2505</v>
      </c>
      <c r="H71" s="69">
        <v>-2407</v>
      </c>
      <c r="I71" s="69">
        <v>-2784</v>
      </c>
      <c r="J71" s="69">
        <v>-3138</v>
      </c>
      <c r="K71" s="69">
        <v>-381</v>
      </c>
      <c r="L71" s="69">
        <v>-2268</v>
      </c>
      <c r="M71" s="46">
        <f t="shared" si="18"/>
        <v>-2163.9595795845485</v>
      </c>
      <c r="N71" s="46">
        <f t="shared" si="18"/>
        <v>-2154.9021967358358</v>
      </c>
      <c r="O71" s="46">
        <f t="shared" si="18"/>
        <v>-2145.8448138871227</v>
      </c>
      <c r="P71" s="46">
        <f t="shared" si="18"/>
        <v>-2136.7874310384095</v>
      </c>
      <c r="Q71" s="46">
        <f t="shared" si="18"/>
        <v>-2127.7300481896964</v>
      </c>
    </row>
    <row r="72" spans="2:17" ht="14.25" customHeight="1" x14ac:dyDescent="0.3">
      <c r="B72" s="53" t="s">
        <v>115</v>
      </c>
      <c r="C72" s="69">
        <v>-8</v>
      </c>
      <c r="D72" s="69">
        <v>-21</v>
      </c>
      <c r="E72" s="69">
        <v>0</v>
      </c>
      <c r="F72" s="69">
        <v>0</v>
      </c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46">
        <f t="shared" si="18"/>
        <v>4.3987517442694752</v>
      </c>
      <c r="N72" s="46">
        <f t="shared" si="18"/>
        <v>5.7251368011070838</v>
      </c>
      <c r="O72" s="46">
        <f t="shared" si="18"/>
        <v>7.0515218579447208</v>
      </c>
      <c r="P72" s="46">
        <f t="shared" si="18"/>
        <v>8.3779069147823293</v>
      </c>
      <c r="Q72" s="46">
        <f t="shared" si="18"/>
        <v>9.7042919716199378</v>
      </c>
    </row>
    <row r="73" spans="2:17" ht="15" customHeight="1" x14ac:dyDescent="0.3">
      <c r="B73" s="53" t="s">
        <v>116</v>
      </c>
      <c r="C73" s="69">
        <v>0</v>
      </c>
      <c r="D73" s="69">
        <v>-13</v>
      </c>
      <c r="E73" s="69">
        <v>2</v>
      </c>
      <c r="F73" s="69">
        <v>0</v>
      </c>
      <c r="G73" s="69">
        <v>-6</v>
      </c>
      <c r="H73" s="69">
        <v>-1</v>
      </c>
      <c r="I73" s="69">
        <v>3</v>
      </c>
      <c r="J73" s="69">
        <v>0</v>
      </c>
      <c r="K73" s="69">
        <v>0</v>
      </c>
      <c r="L73" s="69">
        <v>0</v>
      </c>
      <c r="M73" s="46">
        <f t="shared" si="18"/>
        <v>1.6658368766131844</v>
      </c>
      <c r="N73" s="46">
        <f t="shared" si="18"/>
        <v>2.2411569960873265</v>
      </c>
      <c r="O73" s="46">
        <f t="shared" si="18"/>
        <v>2.8164771155614687</v>
      </c>
      <c r="P73" s="46">
        <f t="shared" si="18"/>
        <v>3.3917972350356109</v>
      </c>
      <c r="Q73" s="46">
        <f t="shared" si="18"/>
        <v>3.9671173545097531</v>
      </c>
    </row>
    <row r="74" spans="2:17" s="16" customFormat="1" ht="14.25" customHeight="1" x14ac:dyDescent="0.3">
      <c r="B74" s="70" t="s">
        <v>117</v>
      </c>
      <c r="C74" s="71">
        <f t="shared" ref="C74:L74" si="19">SUM(C63:C73)</f>
        <v>4090</v>
      </c>
      <c r="D74" s="71">
        <f t="shared" si="19"/>
        <v>5751</v>
      </c>
      <c r="E74" s="71">
        <f t="shared" si="19"/>
        <v>6895</v>
      </c>
      <c r="F74" s="71">
        <f t="shared" si="19"/>
        <v>5458</v>
      </c>
      <c r="G74" s="71">
        <f t="shared" si="19"/>
        <v>8034</v>
      </c>
      <c r="H74" s="71">
        <f t="shared" si="19"/>
        <v>9062</v>
      </c>
      <c r="I74" s="71">
        <f t="shared" si="19"/>
        <v>8048</v>
      </c>
      <c r="J74" s="71">
        <f t="shared" si="19"/>
        <v>9031</v>
      </c>
      <c r="K74" s="71">
        <f t="shared" si="19"/>
        <v>16782</v>
      </c>
      <c r="L74" s="71">
        <f t="shared" si="19"/>
        <v>11098</v>
      </c>
      <c r="M74" s="72">
        <f t="shared" si="18"/>
        <v>13749.376943684154</v>
      </c>
      <c r="N74" s="72">
        <f t="shared" si="18"/>
        <v>14716.98166583736</v>
      </c>
      <c r="O74" s="72">
        <f t="shared" si="18"/>
        <v>15684.586387990566</v>
      </c>
      <c r="P74" s="72">
        <f t="shared" si="18"/>
        <v>16652.191110143787</v>
      </c>
      <c r="Q74" s="72">
        <f t="shared" si="18"/>
        <v>17619.795832296993</v>
      </c>
    </row>
    <row r="75" spans="2:17" ht="14.25" customHeight="1" x14ac:dyDescent="0.3"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44"/>
      <c r="N75" s="44"/>
      <c r="O75" s="44"/>
      <c r="P75" s="44"/>
      <c r="Q75" s="44"/>
    </row>
    <row r="76" spans="2:17" ht="14.25" customHeight="1" x14ac:dyDescent="0.3">
      <c r="B76" s="64" t="s">
        <v>118</v>
      </c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44"/>
      <c r="N76" s="44"/>
      <c r="O76" s="44"/>
      <c r="P76" s="44"/>
      <c r="Q76" s="44"/>
    </row>
    <row r="77" spans="2:17" ht="14.25" customHeight="1" x14ac:dyDescent="0.3">
      <c r="B77" s="53" t="s">
        <v>119</v>
      </c>
      <c r="C77" s="69">
        <v>-810</v>
      </c>
      <c r="D77" s="69">
        <v>-1113</v>
      </c>
      <c r="E77" s="69">
        <v>-895</v>
      </c>
      <c r="F77" s="69">
        <v>-767</v>
      </c>
      <c r="G77" s="69">
        <v>-862</v>
      </c>
      <c r="H77" s="69">
        <v>-4163</v>
      </c>
      <c r="I77" s="69">
        <v>-1228</v>
      </c>
      <c r="J77" s="69">
        <v>-1192</v>
      </c>
      <c r="K77" s="69">
        <v>-1477</v>
      </c>
      <c r="L77" s="69">
        <v>-1275</v>
      </c>
      <c r="M77" s="46">
        <f t="shared" ref="M77:Q88" si="20">_xlfn.FORECAST.LINEAR(M$3,$C77:$L77,$C$3:$L$3)</f>
        <v>-1808.0868334178531</v>
      </c>
      <c r="N77" s="46">
        <f t="shared" si="20"/>
        <v>-1886.2091606259755</v>
      </c>
      <c r="O77" s="46">
        <f t="shared" si="20"/>
        <v>-1964.3314878340998</v>
      </c>
      <c r="P77" s="46">
        <f t="shared" si="20"/>
        <v>-2042.4538150422222</v>
      </c>
      <c r="Q77" s="46">
        <f t="shared" si="20"/>
        <v>-2120.5761422503465</v>
      </c>
    </row>
    <row r="78" spans="2:17" ht="14.25" customHeight="1" x14ac:dyDescent="0.3">
      <c r="B78" s="53" t="s">
        <v>120</v>
      </c>
      <c r="C78" s="69">
        <v>99</v>
      </c>
      <c r="D78" s="69">
        <v>176</v>
      </c>
      <c r="E78" s="69">
        <v>32</v>
      </c>
      <c r="F78" s="69">
        <v>13</v>
      </c>
      <c r="G78" s="69">
        <v>52</v>
      </c>
      <c r="H78" s="69">
        <v>97</v>
      </c>
      <c r="I78" s="69">
        <v>175</v>
      </c>
      <c r="J78" s="69">
        <v>181</v>
      </c>
      <c r="K78" s="69">
        <v>20</v>
      </c>
      <c r="L78" s="69">
        <v>13</v>
      </c>
      <c r="M78" s="46">
        <f t="shared" si="20"/>
        <v>66.133982274038146</v>
      </c>
      <c r="N78" s="46">
        <f t="shared" si="20"/>
        <v>62.560122941214615</v>
      </c>
      <c r="O78" s="46">
        <f t="shared" si="20"/>
        <v>58.986263608391084</v>
      </c>
      <c r="P78" s="46">
        <f t="shared" si="20"/>
        <v>55.412404275567496</v>
      </c>
      <c r="Q78" s="46">
        <f t="shared" si="20"/>
        <v>51.838544942743965</v>
      </c>
    </row>
    <row r="79" spans="2:17" ht="14.25" customHeight="1" x14ac:dyDescent="0.3">
      <c r="B79" s="53" t="s">
        <v>121</v>
      </c>
      <c r="C79" s="69">
        <v>-20666</v>
      </c>
      <c r="D79" s="69">
        <v>-31214</v>
      </c>
      <c r="E79" s="69">
        <v>-51855</v>
      </c>
      <c r="F79" s="69">
        <v>-74365</v>
      </c>
      <c r="G79" s="69">
        <v>-36090</v>
      </c>
      <c r="H79" s="69">
        <v>-39920</v>
      </c>
      <c r="I79" s="69">
        <v>-48522</v>
      </c>
      <c r="J79" s="69">
        <v>-22649</v>
      </c>
      <c r="K79" s="69">
        <v>-21337</v>
      </c>
      <c r="L79" s="69">
        <v>-22957</v>
      </c>
      <c r="M79" s="46">
        <f t="shared" si="20"/>
        <v>-28017.163795268716</v>
      </c>
      <c r="N79" s="46">
        <f t="shared" si="20"/>
        <v>-26392.45743991551</v>
      </c>
      <c r="O79" s="46">
        <f t="shared" si="20"/>
        <v>-24767.751084562304</v>
      </c>
      <c r="P79" s="46">
        <f t="shared" si="20"/>
        <v>-23143.044729209098</v>
      </c>
      <c r="Q79" s="46">
        <f t="shared" si="20"/>
        <v>-21518.338373855891</v>
      </c>
    </row>
    <row r="80" spans="2:17" ht="14.25" customHeight="1" x14ac:dyDescent="0.3">
      <c r="B80" s="53" t="s">
        <v>122</v>
      </c>
      <c r="C80" s="69">
        <v>20937</v>
      </c>
      <c r="D80" s="69">
        <v>30083</v>
      </c>
      <c r="E80" s="69">
        <v>52897</v>
      </c>
      <c r="F80" s="69">
        <v>74691</v>
      </c>
      <c r="G80" s="69">
        <v>37690</v>
      </c>
      <c r="H80" s="69">
        <v>38486</v>
      </c>
      <c r="I80" s="69">
        <v>47786</v>
      </c>
      <c r="J80" s="69">
        <v>23462</v>
      </c>
      <c r="K80" s="69">
        <v>19846</v>
      </c>
      <c r="L80" s="69">
        <v>23987</v>
      </c>
      <c r="M80" s="46">
        <f t="shared" si="20"/>
        <v>27944.486023697944</v>
      </c>
      <c r="N80" s="46">
        <f t="shared" si="20"/>
        <v>26301.302005101868</v>
      </c>
      <c r="O80" s="46">
        <f t="shared" si="20"/>
        <v>24658.117986505764</v>
      </c>
      <c r="P80" s="46">
        <f t="shared" si="20"/>
        <v>23014.933967909659</v>
      </c>
      <c r="Q80" s="46">
        <f t="shared" si="20"/>
        <v>21371.749949313584</v>
      </c>
    </row>
    <row r="81" spans="2:17" ht="14.25" customHeight="1" x14ac:dyDescent="0.3">
      <c r="B81" s="53" t="s">
        <v>123</v>
      </c>
      <c r="C81" s="69">
        <v>315</v>
      </c>
      <c r="D81" s="69">
        <v>264</v>
      </c>
      <c r="E81" s="69">
        <v>297</v>
      </c>
      <c r="F81" s="69">
        <v>289</v>
      </c>
      <c r="G81" s="69">
        <v>351</v>
      </c>
      <c r="H81" s="69">
        <v>277</v>
      </c>
      <c r="I81" s="69">
        <v>161</v>
      </c>
      <c r="J81" s="69">
        <v>259</v>
      </c>
      <c r="K81" s="69">
        <v>425</v>
      </c>
      <c r="L81" s="69">
        <v>835</v>
      </c>
      <c r="M81" s="46">
        <f t="shared" si="20"/>
        <v>519.22993368811785</v>
      </c>
      <c r="N81" s="46">
        <f t="shared" si="20"/>
        <v>550.47435778379258</v>
      </c>
      <c r="O81" s="46">
        <f t="shared" si="20"/>
        <v>581.71878187946777</v>
      </c>
      <c r="P81" s="46">
        <f t="shared" si="20"/>
        <v>612.9632059751425</v>
      </c>
      <c r="Q81" s="46">
        <f t="shared" si="20"/>
        <v>644.20763007081723</v>
      </c>
    </row>
    <row r="82" spans="2:17" ht="14.25" customHeight="1" x14ac:dyDescent="0.3">
      <c r="B82" s="53" t="s">
        <v>124</v>
      </c>
      <c r="C82" s="69">
        <v>33</v>
      </c>
      <c r="D82" s="69">
        <v>14</v>
      </c>
      <c r="E82" s="69">
        <v>0</v>
      </c>
      <c r="F82" s="69">
        <v>1</v>
      </c>
      <c r="G82" s="69">
        <v>1</v>
      </c>
      <c r="H82" s="69">
        <v>1</v>
      </c>
      <c r="I82" s="69">
        <v>1</v>
      </c>
      <c r="J82" s="69">
        <v>2</v>
      </c>
      <c r="K82" s="69">
        <v>3</v>
      </c>
      <c r="L82" s="69">
        <v>0</v>
      </c>
      <c r="M82" s="46">
        <f t="shared" si="20"/>
        <v>-6.5301270347425202</v>
      </c>
      <c r="N82" s="46">
        <f t="shared" si="20"/>
        <v>-8.7345066054077165</v>
      </c>
      <c r="O82" s="46">
        <f t="shared" si="20"/>
        <v>-10.938886176072913</v>
      </c>
      <c r="P82" s="46">
        <f t="shared" si="20"/>
        <v>-13.143265746738109</v>
      </c>
      <c r="Q82" s="46">
        <f t="shared" si="20"/>
        <v>-15.347645317403305</v>
      </c>
    </row>
    <row r="83" spans="2:17" ht="14.25" customHeight="1" x14ac:dyDescent="0.3">
      <c r="B83" s="53" t="s">
        <v>125</v>
      </c>
      <c r="C83" s="69">
        <v>0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46">
        <f t="shared" si="20"/>
        <v>0</v>
      </c>
      <c r="N83" s="46">
        <f t="shared" si="20"/>
        <v>0</v>
      </c>
      <c r="O83" s="46">
        <f t="shared" si="20"/>
        <v>0</v>
      </c>
      <c r="P83" s="46">
        <f t="shared" si="20"/>
        <v>0</v>
      </c>
      <c r="Q83" s="46">
        <f t="shared" si="20"/>
        <v>0</v>
      </c>
    </row>
    <row r="84" spans="2:17" ht="14.25" customHeight="1" x14ac:dyDescent="0.3">
      <c r="B84" s="53" t="s">
        <v>126</v>
      </c>
      <c r="C84" s="69">
        <v>0</v>
      </c>
      <c r="D84" s="69">
        <v>0</v>
      </c>
      <c r="E84" s="69">
        <v>0</v>
      </c>
      <c r="F84" s="69">
        <v>0</v>
      </c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46">
        <f t="shared" si="20"/>
        <v>0</v>
      </c>
      <c r="N84" s="46">
        <f t="shared" si="20"/>
        <v>0</v>
      </c>
      <c r="O84" s="46">
        <f t="shared" si="20"/>
        <v>0</v>
      </c>
      <c r="P84" s="46">
        <f t="shared" si="20"/>
        <v>0</v>
      </c>
      <c r="Q84" s="46">
        <f t="shared" si="20"/>
        <v>0</v>
      </c>
    </row>
    <row r="85" spans="2:17" ht="14.25" customHeight="1" x14ac:dyDescent="0.3">
      <c r="B85" s="53" t="s">
        <v>127</v>
      </c>
      <c r="C85" s="69">
        <v>161</v>
      </c>
      <c r="D85" s="69">
        <v>20</v>
      </c>
      <c r="E85" s="69">
        <v>73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46">
        <f t="shared" si="20"/>
        <v>-39.721329334023039</v>
      </c>
      <c r="N85" s="46">
        <f t="shared" si="20"/>
        <v>-51.555675964303646</v>
      </c>
      <c r="O85" s="46">
        <f t="shared" si="20"/>
        <v>-63.390022594584252</v>
      </c>
      <c r="P85" s="46">
        <f t="shared" si="20"/>
        <v>-75.224369224864859</v>
      </c>
      <c r="Q85" s="46">
        <f t="shared" si="20"/>
        <v>-87.058715855145238</v>
      </c>
    </row>
    <row r="86" spans="2:17" ht="14.25" customHeight="1" x14ac:dyDescent="0.3">
      <c r="B86" s="53" t="s">
        <v>128</v>
      </c>
      <c r="C86" s="69">
        <v>0</v>
      </c>
      <c r="D86" s="69">
        <v>0</v>
      </c>
      <c r="E86" s="69">
        <v>0</v>
      </c>
      <c r="F86" s="69">
        <v>0</v>
      </c>
      <c r="G86" s="69">
        <v>0</v>
      </c>
      <c r="H86" s="69">
        <v>0</v>
      </c>
      <c r="I86" s="69">
        <v>0</v>
      </c>
      <c r="J86" s="69">
        <v>-334</v>
      </c>
      <c r="K86" s="69">
        <v>0</v>
      </c>
      <c r="L86" s="69">
        <v>0</v>
      </c>
      <c r="M86" s="46">
        <f t="shared" si="20"/>
        <v>-89.077742951066284</v>
      </c>
      <c r="N86" s="46">
        <f t="shared" si="20"/>
        <v>-99.195928749990344</v>
      </c>
      <c r="O86" s="46">
        <f t="shared" si="20"/>
        <v>-109.31411454891463</v>
      </c>
      <c r="P86" s="46">
        <f t="shared" si="20"/>
        <v>-119.43230034783869</v>
      </c>
      <c r="Q86" s="46">
        <f t="shared" si="20"/>
        <v>-129.55048614676298</v>
      </c>
    </row>
    <row r="87" spans="2:17" ht="15" customHeight="1" x14ac:dyDescent="0.3">
      <c r="B87" s="53" t="s">
        <v>129</v>
      </c>
      <c r="C87" s="69">
        <v>-351</v>
      </c>
      <c r="D87" s="69">
        <v>597</v>
      </c>
      <c r="E87" s="69">
        <v>-1612</v>
      </c>
      <c r="F87" s="69">
        <v>-300</v>
      </c>
      <c r="G87" s="69">
        <v>649</v>
      </c>
      <c r="H87" s="69">
        <v>3994</v>
      </c>
      <c r="I87" s="69">
        <v>-101</v>
      </c>
      <c r="J87" s="69">
        <v>-1213</v>
      </c>
      <c r="K87" s="69">
        <v>-2804</v>
      </c>
      <c r="L87" s="69">
        <v>5870</v>
      </c>
      <c r="M87" s="46">
        <f t="shared" si="20"/>
        <v>1742.9823489400296</v>
      </c>
      <c r="N87" s="46">
        <f t="shared" si="20"/>
        <v>1973.7914389888792</v>
      </c>
      <c r="O87" s="46">
        <f t="shared" si="20"/>
        <v>2204.6005290377252</v>
      </c>
      <c r="P87" s="46">
        <f t="shared" si="20"/>
        <v>2435.4096190865748</v>
      </c>
      <c r="Q87" s="46">
        <f t="shared" si="20"/>
        <v>2666.2187091354208</v>
      </c>
    </row>
    <row r="88" spans="2:17" s="16" customFormat="1" ht="14.25" customHeight="1" x14ac:dyDescent="0.3">
      <c r="B88" s="70" t="s">
        <v>130</v>
      </c>
      <c r="C88" s="71">
        <f t="shared" ref="C88:L88" si="21">SUM(C77:C87)</f>
        <v>-282</v>
      </c>
      <c r="D88" s="71">
        <f t="shared" si="21"/>
        <v>-1173</v>
      </c>
      <c r="E88" s="71">
        <f t="shared" si="21"/>
        <v>-1063</v>
      </c>
      <c r="F88" s="71">
        <f t="shared" si="21"/>
        <v>-438</v>
      </c>
      <c r="G88" s="71">
        <f t="shared" si="21"/>
        <v>1791</v>
      </c>
      <c r="H88" s="71">
        <f t="shared" si="21"/>
        <v>-1228</v>
      </c>
      <c r="I88" s="71">
        <f t="shared" si="21"/>
        <v>-1728</v>
      </c>
      <c r="J88" s="71">
        <f t="shared" si="21"/>
        <v>-1484</v>
      </c>
      <c r="K88" s="71">
        <f t="shared" si="21"/>
        <v>-5324</v>
      </c>
      <c r="L88" s="71">
        <f t="shared" si="21"/>
        <v>6473</v>
      </c>
      <c r="M88" s="74">
        <f t="shared" si="20"/>
        <v>312.25246059371784</v>
      </c>
      <c r="N88" s="74">
        <f t="shared" si="20"/>
        <v>449.97521295453771</v>
      </c>
      <c r="O88" s="74">
        <f t="shared" si="20"/>
        <v>587.69796531535758</v>
      </c>
      <c r="P88" s="74">
        <f t="shared" si="20"/>
        <v>725.42071767617745</v>
      </c>
      <c r="Q88" s="74">
        <f t="shared" si="20"/>
        <v>863.14347003699731</v>
      </c>
    </row>
    <row r="89" spans="2:17" ht="14.25" customHeight="1" x14ac:dyDescent="0.3"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44"/>
      <c r="N89" s="44"/>
      <c r="O89" s="44"/>
      <c r="P89" s="44"/>
      <c r="Q89" s="44"/>
    </row>
    <row r="90" spans="2:17" ht="14.25" customHeight="1" x14ac:dyDescent="0.3">
      <c r="B90" s="64" t="s">
        <v>131</v>
      </c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44"/>
      <c r="N90" s="44"/>
      <c r="O90" s="44"/>
      <c r="P90" s="44"/>
      <c r="Q90" s="44"/>
    </row>
    <row r="91" spans="2:17" ht="14.25" customHeight="1" x14ac:dyDescent="0.3">
      <c r="B91" s="53" t="s">
        <v>132</v>
      </c>
      <c r="C91" s="69">
        <v>0</v>
      </c>
      <c r="D91" s="69">
        <v>0</v>
      </c>
      <c r="E91" s="69">
        <v>0</v>
      </c>
      <c r="F91" s="69">
        <v>0</v>
      </c>
      <c r="G91" s="69">
        <v>0</v>
      </c>
      <c r="H91" s="69">
        <v>0</v>
      </c>
      <c r="I91" s="69">
        <v>0</v>
      </c>
      <c r="J91" s="69">
        <v>0</v>
      </c>
      <c r="K91" s="69">
        <v>0</v>
      </c>
      <c r="L91" s="69">
        <v>0</v>
      </c>
      <c r="M91" s="46">
        <f t="shared" ref="M91:Q98" si="22">_xlfn.FORECAST.LINEAR(M$3,$C91:$L91,$C$3:$L$3)</f>
        <v>0</v>
      </c>
      <c r="N91" s="46">
        <f t="shared" si="22"/>
        <v>0</v>
      </c>
      <c r="O91" s="46">
        <f t="shared" si="22"/>
        <v>0</v>
      </c>
      <c r="P91" s="46">
        <f t="shared" si="22"/>
        <v>0</v>
      </c>
      <c r="Q91" s="46">
        <f t="shared" si="22"/>
        <v>0</v>
      </c>
    </row>
    <row r="92" spans="2:17" ht="14.25" customHeight="1" x14ac:dyDescent="0.3">
      <c r="B92" s="53" t="s">
        <v>133</v>
      </c>
      <c r="C92" s="69">
        <v>177</v>
      </c>
      <c r="D92" s="69">
        <v>460</v>
      </c>
      <c r="E92" s="69">
        <v>0</v>
      </c>
      <c r="F92" s="69">
        <v>99</v>
      </c>
      <c r="G92" s="69">
        <v>0</v>
      </c>
      <c r="H92" s="69">
        <v>188</v>
      </c>
      <c r="I92" s="69">
        <v>55</v>
      </c>
      <c r="J92" s="69">
        <v>286</v>
      </c>
      <c r="K92" s="69">
        <v>0</v>
      </c>
      <c r="L92" s="69">
        <v>0</v>
      </c>
      <c r="M92" s="46">
        <f t="shared" si="22"/>
        <v>15.635306862639936</v>
      </c>
      <c r="N92" s="46">
        <f t="shared" si="22"/>
        <v>-4.5118741157698423</v>
      </c>
      <c r="O92" s="46">
        <f t="shared" si="22"/>
        <v>-24.659055094179621</v>
      </c>
      <c r="P92" s="46">
        <f t="shared" si="22"/>
        <v>-44.806236072589854</v>
      </c>
      <c r="Q92" s="46">
        <f t="shared" si="22"/>
        <v>-64.953417050999633</v>
      </c>
    </row>
    <row r="93" spans="2:17" ht="14.25" customHeight="1" x14ac:dyDescent="0.3">
      <c r="B93" s="53" t="s">
        <v>134</v>
      </c>
      <c r="C93" s="69">
        <v>0</v>
      </c>
      <c r="D93" s="69">
        <v>-360</v>
      </c>
      <c r="E93" s="69">
        <v>-277</v>
      </c>
      <c r="F93" s="69">
        <v>0</v>
      </c>
      <c r="G93" s="69">
        <v>-99</v>
      </c>
      <c r="H93" s="69">
        <v>-188</v>
      </c>
      <c r="I93" s="69">
        <v>-55</v>
      </c>
      <c r="J93" s="69">
        <v>-208</v>
      </c>
      <c r="K93" s="69">
        <v>-85</v>
      </c>
      <c r="L93" s="69">
        <v>0</v>
      </c>
      <c r="M93" s="46">
        <f t="shared" si="22"/>
        <v>-59.997431966505928</v>
      </c>
      <c r="N93" s="46">
        <f t="shared" si="22"/>
        <v>-47.78486670276402</v>
      </c>
      <c r="O93" s="46">
        <f t="shared" si="22"/>
        <v>-35.572301439022112</v>
      </c>
      <c r="P93" s="46">
        <f t="shared" si="22"/>
        <v>-23.359736175280432</v>
      </c>
      <c r="Q93" s="46">
        <f t="shared" si="22"/>
        <v>-11.147170911538524</v>
      </c>
    </row>
    <row r="94" spans="2:17" ht="14.25" customHeight="1" x14ac:dyDescent="0.3">
      <c r="B94" s="53" t="s">
        <v>135</v>
      </c>
      <c r="C94" s="69">
        <v>-2</v>
      </c>
      <c r="D94" s="69">
        <v>-14</v>
      </c>
      <c r="E94" s="69">
        <v>-6</v>
      </c>
      <c r="F94" s="69">
        <v>-7</v>
      </c>
      <c r="G94" s="69">
        <v>-90</v>
      </c>
      <c r="H94" s="69">
        <v>-92</v>
      </c>
      <c r="I94" s="69">
        <v>-82</v>
      </c>
      <c r="J94" s="69">
        <v>-88</v>
      </c>
      <c r="K94" s="69">
        <v>-110</v>
      </c>
      <c r="L94" s="69">
        <v>-130</v>
      </c>
      <c r="M94" s="46">
        <f t="shared" si="22"/>
        <v>-144.11567726718226</v>
      </c>
      <c r="N94" s="46">
        <f t="shared" si="22"/>
        <v>-159.02019417159931</v>
      </c>
      <c r="O94" s="46">
        <f t="shared" si="22"/>
        <v>-173.92471107601614</v>
      </c>
      <c r="P94" s="46">
        <f t="shared" si="22"/>
        <v>-188.82922798043319</v>
      </c>
      <c r="Q94" s="46">
        <f t="shared" si="22"/>
        <v>-203.73374488485024</v>
      </c>
    </row>
    <row r="95" spans="2:17" ht="14.25" customHeight="1" x14ac:dyDescent="0.3">
      <c r="B95" s="53" t="s">
        <v>136</v>
      </c>
      <c r="C95" s="69">
        <v>-3354</v>
      </c>
      <c r="D95" s="69">
        <v>-3572</v>
      </c>
      <c r="E95" s="69">
        <v>-3911</v>
      </c>
      <c r="F95" s="69">
        <v>-4554</v>
      </c>
      <c r="G95" s="69">
        <v>-5196</v>
      </c>
      <c r="H95" s="69">
        <v>-8811</v>
      </c>
      <c r="I95" s="69">
        <v>-7526</v>
      </c>
      <c r="J95" s="69">
        <v>-8474</v>
      </c>
      <c r="K95" s="69">
        <v>-9416</v>
      </c>
      <c r="L95" s="69">
        <v>-12473</v>
      </c>
      <c r="M95" s="46">
        <f t="shared" si="22"/>
        <v>-12005.034908939546</v>
      </c>
      <c r="N95" s="46">
        <f t="shared" si="22"/>
        <v>-12963.890891893461</v>
      </c>
      <c r="O95" s="46">
        <f t="shared" si="22"/>
        <v>-13922.746874847377</v>
      </c>
      <c r="P95" s="46">
        <f t="shared" si="22"/>
        <v>-14881.602857801292</v>
      </c>
      <c r="Q95" s="46">
        <f t="shared" si="22"/>
        <v>-15840.458840755207</v>
      </c>
    </row>
    <row r="96" spans="2:17" ht="14.25" customHeight="1" x14ac:dyDescent="0.3">
      <c r="B96" s="53" t="s">
        <v>137</v>
      </c>
      <c r="C96" s="69">
        <v>0</v>
      </c>
      <c r="D96" s="69">
        <v>0</v>
      </c>
      <c r="E96" s="69">
        <v>0</v>
      </c>
      <c r="F96" s="69">
        <v>0</v>
      </c>
      <c r="G96" s="69">
        <v>-373</v>
      </c>
      <c r="H96" s="69">
        <v>-406</v>
      </c>
      <c r="I96" s="69">
        <v>-407</v>
      </c>
      <c r="J96" s="69">
        <v>-467</v>
      </c>
      <c r="K96" s="69">
        <v>-423</v>
      </c>
      <c r="L96" s="69">
        <v>-498</v>
      </c>
      <c r="M96" s="46">
        <f t="shared" si="22"/>
        <v>-625.05715760700423</v>
      </c>
      <c r="N96" s="46">
        <f t="shared" si="22"/>
        <v>-691.87063160578782</v>
      </c>
      <c r="O96" s="46">
        <f t="shared" si="22"/>
        <v>-758.68410560457141</v>
      </c>
      <c r="P96" s="46">
        <f t="shared" si="22"/>
        <v>-825.49757960335501</v>
      </c>
      <c r="Q96" s="46">
        <f t="shared" si="22"/>
        <v>-892.3110536021386</v>
      </c>
    </row>
    <row r="97" spans="2:17" ht="15" customHeight="1" x14ac:dyDescent="0.3">
      <c r="B97" s="53" t="s">
        <v>138</v>
      </c>
      <c r="C97" s="69">
        <v>-685</v>
      </c>
      <c r="D97" s="69">
        <v>-728</v>
      </c>
      <c r="E97" s="69">
        <v>-781</v>
      </c>
      <c r="F97" s="69">
        <v>-928</v>
      </c>
      <c r="G97" s="69">
        <v>-1061</v>
      </c>
      <c r="H97" s="69">
        <v>0</v>
      </c>
      <c r="I97" s="69">
        <v>0</v>
      </c>
      <c r="J97" s="69">
        <v>-2</v>
      </c>
      <c r="K97" s="69">
        <v>0</v>
      </c>
      <c r="L97" s="69">
        <v>0</v>
      </c>
      <c r="M97" s="46">
        <f t="shared" si="22"/>
        <v>214.69921891343438</v>
      </c>
      <c r="N97" s="46">
        <f t="shared" si="22"/>
        <v>329.76902966942362</v>
      </c>
      <c r="O97" s="46">
        <f t="shared" si="22"/>
        <v>444.83884042541104</v>
      </c>
      <c r="P97" s="46">
        <f t="shared" si="22"/>
        <v>559.90865118140027</v>
      </c>
      <c r="Q97" s="46">
        <f t="shared" si="22"/>
        <v>674.97846193738951</v>
      </c>
    </row>
    <row r="98" spans="2:17" s="16" customFormat="1" ht="14.25" customHeight="1" x14ac:dyDescent="0.3">
      <c r="B98" s="70" t="s">
        <v>131</v>
      </c>
      <c r="C98" s="71">
        <f t="shared" ref="C98:L98" si="23">SUM(C91:C97)</f>
        <v>-3864</v>
      </c>
      <c r="D98" s="71">
        <f t="shared" si="23"/>
        <v>-4214</v>
      </c>
      <c r="E98" s="71">
        <f t="shared" si="23"/>
        <v>-4975</v>
      </c>
      <c r="F98" s="71">
        <f t="shared" si="23"/>
        <v>-5390</v>
      </c>
      <c r="G98" s="71">
        <f t="shared" si="23"/>
        <v>-6819</v>
      </c>
      <c r="H98" s="71">
        <f t="shared" si="23"/>
        <v>-9309</v>
      </c>
      <c r="I98" s="71">
        <f t="shared" si="23"/>
        <v>-8015</v>
      </c>
      <c r="J98" s="71">
        <f t="shared" si="23"/>
        <v>-8953</v>
      </c>
      <c r="K98" s="71">
        <f t="shared" si="23"/>
        <v>-10034</v>
      </c>
      <c r="L98" s="71">
        <f t="shared" si="23"/>
        <v>-13101</v>
      </c>
      <c r="M98" s="74">
        <f t="shared" si="22"/>
        <v>-12603.870650004174</v>
      </c>
      <c r="N98" s="74">
        <f t="shared" si="22"/>
        <v>-13537.309428819965</v>
      </c>
      <c r="O98" s="74">
        <f t="shared" si="22"/>
        <v>-14470.74820763577</v>
      </c>
      <c r="P98" s="74">
        <f t="shared" si="22"/>
        <v>-15404.186986451561</v>
      </c>
      <c r="Q98" s="74">
        <f t="shared" si="22"/>
        <v>-16337.625765267352</v>
      </c>
    </row>
    <row r="99" spans="2:17" ht="15" customHeight="1" x14ac:dyDescent="0.3">
      <c r="M99" s="44"/>
      <c r="N99" s="44"/>
      <c r="O99" s="44"/>
      <c r="P99" s="44"/>
      <c r="Q99" s="44"/>
    </row>
    <row r="100" spans="2:17" ht="15" customHeight="1" x14ac:dyDescent="0.3">
      <c r="B100" s="75" t="s">
        <v>139</v>
      </c>
      <c r="C100" s="76">
        <f t="shared" ref="C100:L100" si="24">SUM(C98,C88,C74)</f>
        <v>-56</v>
      </c>
      <c r="D100" s="76">
        <f t="shared" si="24"/>
        <v>364</v>
      </c>
      <c r="E100" s="76">
        <f t="shared" si="24"/>
        <v>857</v>
      </c>
      <c r="F100" s="76">
        <f t="shared" si="24"/>
        <v>-370</v>
      </c>
      <c r="G100" s="76">
        <f t="shared" si="24"/>
        <v>3006</v>
      </c>
      <c r="H100" s="76">
        <f t="shared" si="24"/>
        <v>-1475</v>
      </c>
      <c r="I100" s="76">
        <f t="shared" si="24"/>
        <v>-1695</v>
      </c>
      <c r="J100" s="76">
        <f t="shared" si="24"/>
        <v>-1406</v>
      </c>
      <c r="K100" s="76">
        <f t="shared" si="24"/>
        <v>1424</v>
      </c>
      <c r="L100" s="76">
        <f t="shared" si="24"/>
        <v>4470</v>
      </c>
      <c r="M100" s="77">
        <f>_xlfn.FORECAST.LINEAR(M$3,$C100:$L100,$C$3:$L$3)</f>
        <v>1457.7587542737092</v>
      </c>
      <c r="N100" s="77">
        <f>_xlfn.FORECAST.LINEAR(N$3,$C100:$L100,$C$3:$L$3)</f>
        <v>1629.6474499719443</v>
      </c>
      <c r="O100" s="77">
        <f>_xlfn.FORECAST.LINEAR(O$3,$C100:$L100,$C$3:$L$3)</f>
        <v>1801.5361456701794</v>
      </c>
      <c r="P100" s="77">
        <f>_xlfn.FORECAST.LINEAR(P$3,$C100:$L100,$C$3:$L$3)</f>
        <v>1973.4248413684109</v>
      </c>
      <c r="Q100" s="77">
        <f>_xlfn.FORECAST.LINEAR(Q$3,$C100:$L100,$C$3:$L$3)</f>
        <v>2145.3135370666459</v>
      </c>
    </row>
  </sheetData>
  <mergeCells count="1">
    <mergeCell ref="B2:Q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Q42"/>
  <sheetViews>
    <sheetView showGridLines="0" zoomScale="75" zoomScaleNormal="75" workbookViewId="0">
      <pane ySplit="3" topLeftCell="A4" activePane="bottomLeft" state="frozen"/>
      <selection pane="bottomLeft" activeCell="I48" sqref="I48"/>
    </sheetView>
  </sheetViews>
  <sheetFormatPr defaultColWidth="8.6640625" defaultRowHeight="14.4" x14ac:dyDescent="0.3"/>
  <cols>
    <col min="1" max="1" width="1.88671875" customWidth="1"/>
    <col min="2" max="2" width="21.33203125" customWidth="1"/>
    <col min="3" max="9" width="15.21875" customWidth="1"/>
    <col min="10" max="10" width="14.21875" customWidth="1"/>
    <col min="11" max="17" width="15.21875" customWidth="1"/>
  </cols>
  <sheetData>
    <row r="2" spans="2:17" ht="14.25" customHeight="1" x14ac:dyDescent="0.3">
      <c r="B2" s="12" t="str">
        <f>"Ratio Analysis for "&amp;Data!B1</f>
        <v>Ratio Analysis for TATA POWER COMPANY LTD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2:17" ht="14.25" customHeight="1" x14ac:dyDescent="0.3">
      <c r="B3" s="39" t="s">
        <v>74</v>
      </c>
      <c r="C3" s="40">
        <f>Data!B16</f>
        <v>42825</v>
      </c>
      <c r="D3" s="40">
        <f>Data!C16</f>
        <v>43190</v>
      </c>
      <c r="E3" s="40">
        <f>Data!D16</f>
        <v>43555</v>
      </c>
      <c r="F3" s="40">
        <f>Data!E16</f>
        <v>43921</v>
      </c>
      <c r="G3" s="40">
        <f>Data!F16</f>
        <v>44286</v>
      </c>
      <c r="H3" s="40">
        <f>Data!G16</f>
        <v>44651</v>
      </c>
      <c r="I3" s="40">
        <f>Data!H16</f>
        <v>45016</v>
      </c>
      <c r="J3" s="40">
        <f>Data!I16</f>
        <v>45382</v>
      </c>
      <c r="K3" s="40">
        <f>Data!J16</f>
        <v>45747</v>
      </c>
      <c r="L3" s="40">
        <f>Data!K16</f>
        <v>46112</v>
      </c>
      <c r="M3" s="41">
        <f>Data!K16+365</f>
        <v>46477</v>
      </c>
      <c r="N3" s="41">
        <f>M3+365</f>
        <v>46842</v>
      </c>
      <c r="O3" s="41">
        <f>N3+365</f>
        <v>47207</v>
      </c>
      <c r="P3" s="41">
        <f>O3+365</f>
        <v>47572</v>
      </c>
      <c r="Q3" s="41">
        <f>P3+365</f>
        <v>47937</v>
      </c>
    </row>
    <row r="5" spans="2:17" ht="14.25" customHeight="1" x14ac:dyDescent="0.3">
      <c r="B5" s="16" t="s">
        <v>140</v>
      </c>
    </row>
    <row r="6" spans="2:17" ht="14.25" customHeight="1" x14ac:dyDescent="0.3">
      <c r="B6" s="78" t="s">
        <v>141</v>
      </c>
      <c r="C6" s="79">
        <f>'Historical data'!C13</f>
        <v>0.23831476399352022</v>
      </c>
      <c r="D6" s="79">
        <f>'Historical data'!D13</f>
        <v>0.25990610377615431</v>
      </c>
      <c r="E6" s="79">
        <f>'Historical data'!E13</f>
        <v>0.24711606616365026</v>
      </c>
      <c r="F6" s="79">
        <f>'Historical data'!F13</f>
        <v>0.2916372217953026</v>
      </c>
      <c r="G6" s="79">
        <f>'Historical data'!G13</f>
        <v>0.23599048536677167</v>
      </c>
      <c r="H6" s="79">
        <f>'Historical data'!H13</f>
        <v>0.20030750423851837</v>
      </c>
      <c r="I6" s="79">
        <f>'Historical data'!I13</f>
        <v>0.17326328075155681</v>
      </c>
      <c r="J6" s="79">
        <f>'Historical data'!J13</f>
        <v>0.20143778000908077</v>
      </c>
      <c r="K6" s="79">
        <f>'Historical data'!K13</f>
        <v>0.23824739333250247</v>
      </c>
      <c r="L6" s="79">
        <f>'Historical data'!L13</f>
        <v>0.23876368183231433</v>
      </c>
      <c r="M6" s="80">
        <f>'Historical data'!M13</f>
        <v>0.21538637638709718</v>
      </c>
      <c r="N6" s="80">
        <f>'Historical data'!N13</f>
        <v>0.21423824572443501</v>
      </c>
      <c r="O6" s="80">
        <f>'Historical data'!O13</f>
        <v>0.21323250883637213</v>
      </c>
      <c r="P6" s="80">
        <f>'Historical data'!P13</f>
        <v>0.21234422248221216</v>
      </c>
      <c r="Q6" s="80">
        <f>'Historical data'!Q13</f>
        <v>0.21155394779156034</v>
      </c>
    </row>
    <row r="7" spans="2:17" ht="14.25" customHeight="1" x14ac:dyDescent="0.3">
      <c r="B7" s="78" t="s">
        <v>142</v>
      </c>
      <c r="C7" s="79">
        <f>'Historical data'!C18</f>
        <v>0.19839609041601672</v>
      </c>
      <c r="D7" s="79">
        <f>'Historical data'!D18</f>
        <v>0.186553637500666</v>
      </c>
      <c r="E7" s="79">
        <f>'Historical data'!E18</f>
        <v>0.21525374267177949</v>
      </c>
      <c r="F7" s="79">
        <f>'Historical data'!F18</f>
        <v>0.23355929376240073</v>
      </c>
      <c r="G7" s="79">
        <f>'Historical data'!G18</f>
        <v>0.21162689648234376</v>
      </c>
      <c r="H7" s="79">
        <f>'Historical data'!H18</f>
        <v>0.16421300892874041</v>
      </c>
      <c r="I7" s="79">
        <f>'Historical data'!I18</f>
        <v>0.14022661964235303</v>
      </c>
      <c r="J7" s="79">
        <f>'Historical data'!J18</f>
        <v>0.1747025577349636</v>
      </c>
      <c r="K7" s="79">
        <f>'Historical data'!K18</f>
        <v>0.19013324121112596</v>
      </c>
      <c r="L7" s="79">
        <f>'Historical data'!L18</f>
        <v>0.21258320907135658</v>
      </c>
      <c r="M7" s="80">
        <f>'Historical data'!M18</f>
        <v>0.18413350211047791</v>
      </c>
      <c r="N7" s="80">
        <f>'Historical data'!N18</f>
        <v>0.18364483399500531</v>
      </c>
      <c r="O7" s="80">
        <f>'Historical data'!O18</f>
        <v>0.18321677161000488</v>
      </c>
      <c r="P7" s="80">
        <f>'Historical data'!P18</f>
        <v>0.18283869859723376</v>
      </c>
      <c r="Q7" s="80">
        <f>'Historical data'!Q18</f>
        <v>0.18250234137209775</v>
      </c>
    </row>
    <row r="8" spans="2:17" ht="14.25" customHeight="1" x14ac:dyDescent="0.3">
      <c r="B8" s="78" t="s">
        <v>87</v>
      </c>
      <c r="C8" s="79">
        <f>'Historical data'!C23</f>
        <v>0.12750950699209312</v>
      </c>
      <c r="D8" s="79">
        <f>'Historical data'!D23</f>
        <v>9.9141327564886653E-2</v>
      </c>
      <c r="E8" s="79">
        <f>'Historical data'!E23</f>
        <v>0.13516521836909412</v>
      </c>
      <c r="F8" s="79">
        <f>'Historical data'!F23</f>
        <v>0.14317191880800526</v>
      </c>
      <c r="G8" s="79">
        <f>'Historical data'!G23</f>
        <v>0.12769227335092373</v>
      </c>
      <c r="H8" s="79">
        <f>'Historical data'!H23</f>
        <v>9.1291109072916612E-2</v>
      </c>
      <c r="I8" s="79">
        <f>'Historical data'!I23</f>
        <v>7.7819480927643958E-2</v>
      </c>
      <c r="J8" s="79">
        <f>'Historical data'!J23</f>
        <v>0.11308436766158556</v>
      </c>
      <c r="K8" s="79">
        <f>'Historical data'!K23</f>
        <v>0.12725952927262546</v>
      </c>
      <c r="L8" s="79">
        <f>'Historical data'!L23</f>
        <v>0.13551771712287591</v>
      </c>
      <c r="M8" s="80">
        <f>'Historical data'!M23</f>
        <v>0.5456158061379397</v>
      </c>
      <c r="N8" s="80">
        <f>'Historical data'!N23</f>
        <v>0.54902152359050449</v>
      </c>
      <c r="O8" s="80">
        <f>'Historical data'!O23</f>
        <v>0.55203499094963782</v>
      </c>
      <c r="P8" s="80">
        <f>'Historical data'!P23</f>
        <v>0.55472028381102223</v>
      </c>
      <c r="Q8" s="80">
        <f>'Historical data'!Q23</f>
        <v>0.55712824245008541</v>
      </c>
    </row>
    <row r="9" spans="2:17" ht="14.25" customHeight="1" x14ac:dyDescent="0.3">
      <c r="B9" s="78" t="s">
        <v>143</v>
      </c>
      <c r="C9" s="79">
        <f>'Historical data'!C33</f>
        <v>-7.1677156286577238E-3</v>
      </c>
      <c r="D9" s="79">
        <f>'Historical data'!D33</f>
        <v>-4.7036412077821853E-2</v>
      </c>
      <c r="E9" s="79">
        <f>'Historical data'!E33</f>
        <v>-4.078536705190499E-2</v>
      </c>
      <c r="F9" s="79">
        <f>'Historical data'!F33</f>
        <v>-3.3075843009956266E-2</v>
      </c>
      <c r="G9" s="79">
        <f>'Historical data'!G33</f>
        <v>-1.0283668533857966E-2</v>
      </c>
      <c r="H9" s="79">
        <f>'Historical data'!H33</f>
        <v>-7.7048893547618609E-3</v>
      </c>
      <c r="I9" s="79">
        <f>'Historical data'!I33</f>
        <v>-3.1399907238516676E-2</v>
      </c>
      <c r="J9" s="79">
        <f>'Historical data'!J33</f>
        <v>1.4056720299305667E-2</v>
      </c>
      <c r="K9" s="79">
        <f>'Historical data'!K33</f>
        <v>3.1858522770312647E-2</v>
      </c>
      <c r="L9" s="79">
        <f>'Historical data'!L33</f>
        <v>2.6990197920536092E-2</v>
      </c>
      <c r="M9" s="80">
        <f>'Historical data'!M33</f>
        <v>0.1769188198281258</v>
      </c>
      <c r="N9" s="80">
        <f>'Historical data'!N33</f>
        <v>0.197930983509924</v>
      </c>
      <c r="O9" s="80">
        <f>'Historical data'!O33</f>
        <v>0.21630689915617035</v>
      </c>
      <c r="P9" s="80">
        <f>'Historical data'!P33</f>
        <v>0.23251340829159947</v>
      </c>
      <c r="Q9" s="80">
        <f>'Historical data'!Q33</f>
        <v>0.24691326849085291</v>
      </c>
    </row>
    <row r="10" spans="2:17" ht="14.25" customHeight="1" x14ac:dyDescent="0.3">
      <c r="B10" s="78" t="s">
        <v>144</v>
      </c>
      <c r="C10" s="79">
        <f>'Historical data'!C32/'Historical data'!C58</f>
        <v>-2.3873206159272888E-3</v>
      </c>
      <c r="D10" s="79">
        <f>'Historical data'!D32/'Historical data'!D58</f>
        <v>-1.5416317628871263E-2</v>
      </c>
      <c r="E10" s="79">
        <f>'Historical data'!E32/'Historical data'!E58</f>
        <v>-1.4495778928517689E-2</v>
      </c>
      <c r="F10" s="79">
        <f>'Historical data'!F32/'Historical data'!F58</f>
        <v>-1.0746827031407455E-2</v>
      </c>
      <c r="G10" s="79">
        <f>'Historical data'!G32/'Historical data'!G58</f>
        <v>-3.4089559113369659E-3</v>
      </c>
      <c r="H10" s="79">
        <f>'Historical data'!H32/'Historical data'!H58</f>
        <v>-2.9310531258154421E-3</v>
      </c>
      <c r="I10" s="79">
        <f>'Historical data'!I32/'Historical data'!I58</f>
        <v>-1.3508759904865162E-2</v>
      </c>
      <c r="J10" s="79">
        <f>'Historical data'!J32/'Historical data'!J58</f>
        <v>6.2117415917799373E-3</v>
      </c>
      <c r="K10" s="79">
        <f>'Historical data'!K32/'Historical data'!K58</f>
        <v>1.335550244472712E-2</v>
      </c>
      <c r="L10" s="79">
        <f>'Historical data'!L32/'Historical data'!L58</f>
        <v>9.652377829502767E-3</v>
      </c>
      <c r="M10" s="80">
        <f>'Historical data'!M32/'Historical data'!M58</f>
        <v>8.5293112841806594E-3</v>
      </c>
      <c r="N10" s="80">
        <f>'Historical data'!N32/'Historical data'!N58</f>
        <v>9.6367310329355856E-3</v>
      </c>
      <c r="O10" s="80">
        <f>'Historical data'!O32/'Historical data'!O58</f>
        <v>1.0623330478119562E-2</v>
      </c>
      <c r="P10" s="80">
        <f>'Historical data'!P32/'Historical data'!P58</f>
        <v>1.150785919843611E-2</v>
      </c>
      <c r="Q10" s="80">
        <f>'Historical data'!Q32/'Historical data'!Q58</f>
        <v>1.2305378031472549E-2</v>
      </c>
    </row>
    <row r="11" spans="2:17" ht="14.25" customHeight="1" x14ac:dyDescent="0.3">
      <c r="B11" s="78" t="s">
        <v>145</v>
      </c>
      <c r="C11" s="79">
        <f>'Historical data'!C32/SUM('Historical data'!C36:C37)</f>
        <v>-1.4963808831931586E-2</v>
      </c>
      <c r="D11" s="79">
        <f>'Historical data'!D32/SUM('Historical data'!D36:D37)</f>
        <v>-7.6980441320302323E-2</v>
      </c>
      <c r="E11" s="79">
        <f>'Historical data'!E32/SUM('Historical data'!E36:E37)</f>
        <v>-6.6576129263811623E-2</v>
      </c>
      <c r="F11" s="79">
        <f>'Historical data'!F32/SUM('Historical data'!F36:F37)</f>
        <v>-4.9254268369346411E-2</v>
      </c>
      <c r="G11" s="79">
        <f>'Historical data'!G32/SUM('Historical data'!G36:G37)</f>
        <v>-1.5066126816908438E-2</v>
      </c>
      <c r="H11" s="79">
        <f>'Historical data'!H32/SUM('Historical data'!H36:H37)</f>
        <v>-1.4699958469910146E-2</v>
      </c>
      <c r="I11" s="79">
        <f>'Historical data'!I32/SUM('Historical data'!I36:I37)</f>
        <v>-6.011026340315876E-2</v>
      </c>
      <c r="J11" s="79">
        <f>'Historical data'!J32/SUM('Historical data'!J36:J37)</f>
        <v>2.6696407295375934E-2</v>
      </c>
      <c r="K11" s="79">
        <f>'Historical data'!K32/SUM('Historical data'!K36:K37)</f>
        <v>5.8203153010253333E-2</v>
      </c>
      <c r="L11" s="79">
        <f>'Historical data'!L32/SUM('Historical data'!L36:L37)</f>
        <v>4.2692655498070428E-2</v>
      </c>
      <c r="M11" s="80">
        <f>'Historical data'!M32/SUM('Historical data'!M36:M37)</f>
        <v>3.640722835786319E-2</v>
      </c>
      <c r="N11" s="80">
        <f>'Historical data'!N32/SUM('Historical data'!N36:N37)</f>
        <v>4.0787140519297965E-2</v>
      </c>
      <c r="O11" s="80">
        <f>'Historical data'!O32/SUM('Historical data'!O36:O37)</f>
        <v>4.4627406520764933E-2</v>
      </c>
      <c r="P11" s="80">
        <f>'Historical data'!P32/SUM('Historical data'!P36:P37)</f>
        <v>4.8021972994550084E-2</v>
      </c>
      <c r="Q11" s="80">
        <f>'Historical data'!Q32/SUM('Historical data'!Q36:Q37)</f>
        <v>5.1044175804230929E-2</v>
      </c>
    </row>
    <row r="12" spans="2:17" ht="14.25" customHeight="1" x14ac:dyDescent="0.3">
      <c r="B12" s="78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4.25" customHeight="1" x14ac:dyDescent="0.3">
      <c r="B13" s="81" t="s">
        <v>146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</row>
    <row r="14" spans="2:17" ht="14.25" customHeight="1" x14ac:dyDescent="0.3">
      <c r="B14" s="78" t="s">
        <v>147</v>
      </c>
      <c r="C14" s="79">
        <f>'Historical data'!C38/SUM('Historical data'!C36:C37)</f>
        <v>3.6940652538300589</v>
      </c>
      <c r="D14" s="79">
        <f>'Historical data'!D38/SUM('Historical data'!D36:D37)</f>
        <v>2.9627802154649916</v>
      </c>
      <c r="E14" s="79">
        <f>'Historical data'!E38/SUM('Historical data'!E36:E37)</f>
        <v>2.649805441093966</v>
      </c>
      <c r="F14" s="79">
        <f>'Historical data'!F38/SUM('Historical data'!F36:F37)</f>
        <v>2.6544054437233529</v>
      </c>
      <c r="G14" s="79">
        <f>'Historical data'!G38/SUM('Historical data'!G36:G37)</f>
        <v>2.0924382208611489</v>
      </c>
      <c r="H14" s="79">
        <f>'Historical data'!H38/SUM('Historical data'!H36:H37)</f>
        <v>2.2812638693566756</v>
      </c>
      <c r="I14" s="79">
        <f>'Historical data'!I38/SUM('Historical data'!I36:I37)</f>
        <v>1.8384065545274448</v>
      </c>
      <c r="J14" s="79">
        <f>'Historical data'!J38/SUM('Historical data'!J36:J37)</f>
        <v>1.6593716205294404</v>
      </c>
      <c r="K14" s="79">
        <f>'Historical data'!K38/SUM('Historical data'!K36:K37)</f>
        <v>1.7540352900768876</v>
      </c>
      <c r="L14" s="79">
        <f>'Historical data'!L38/SUM('Historical data'!L36:L37)</f>
        <v>1.9292285925455588</v>
      </c>
      <c r="M14" s="80">
        <f>'Historical data'!M38/SUM('Historical data'!M36:M37)</f>
        <v>1.6468762564326533</v>
      </c>
      <c r="N14" s="80">
        <f>'Historical data'!N38/SUM('Historical data'!N36:N37)</f>
        <v>1.591686164640548</v>
      </c>
      <c r="O14" s="80">
        <f>'Historical data'!O38/SUM('Historical data'!O36:O37)</f>
        <v>1.5432960085563081</v>
      </c>
      <c r="P14" s="80">
        <f>'Historical data'!P38/SUM('Historical data'!P36:P37)</f>
        <v>1.5005219920058821</v>
      </c>
      <c r="Q14" s="80">
        <f>'Historical data'!Q38/SUM('Historical data'!Q36:Q37)</f>
        <v>1.4624400295525499</v>
      </c>
    </row>
    <row r="15" spans="2:17" ht="14.25" customHeight="1" x14ac:dyDescent="0.3">
      <c r="B15" s="78" t="s">
        <v>148</v>
      </c>
      <c r="C15" s="79">
        <f>'Historical data'!C38/'Historical data'!C58</f>
        <v>0.58934982637778011</v>
      </c>
      <c r="D15" s="79">
        <f>'Historical data'!D38/'Historical data'!D58</f>
        <v>0.59333461958340161</v>
      </c>
      <c r="E15" s="79">
        <f>'Historical data'!E38/'Historical data'!E58</f>
        <v>0.5769484393644414</v>
      </c>
      <c r="F15" s="79">
        <f>'Historical data'!F38/'Historical data'!F58</f>
        <v>0.57916678329293325</v>
      </c>
      <c r="G15" s="79">
        <f>'Historical data'!G38/'Historical data'!G58</f>
        <v>0.47344813493184923</v>
      </c>
      <c r="H15" s="79">
        <f>'Historical data'!H38/'Historical data'!H58</f>
        <v>0.45486561127193353</v>
      </c>
      <c r="I15" s="79">
        <f>'Historical data'!I38/'Historical data'!I58</f>
        <v>0.41315062264951929</v>
      </c>
      <c r="J15" s="79">
        <f>'Historical data'!J38/'Historical data'!J58</f>
        <v>0.38610392767147245</v>
      </c>
      <c r="K15" s="79">
        <f>'Historical data'!K38/'Historical data'!K58</f>
        <v>0.40248717454589927</v>
      </c>
      <c r="L15" s="79">
        <f>'Historical data'!L38/'Historical data'!L58</f>
        <v>0.43617908226793756</v>
      </c>
      <c r="M15" s="80">
        <f>'Historical data'!M38/'Historical data'!M58</f>
        <v>0.38582229055089373</v>
      </c>
      <c r="N15" s="80">
        <f>'Historical data'!N38/'Historical data'!N58</f>
        <v>0.37606586934498348</v>
      </c>
      <c r="O15" s="80">
        <f>'Historical data'!O38/'Historical data'!O58</f>
        <v>0.36737388081980527</v>
      </c>
      <c r="P15" s="80">
        <f>'Historical data'!P38/'Historical data'!P58</f>
        <v>0.3595811402859323</v>
      </c>
      <c r="Q15" s="80">
        <f>'Historical data'!Q38/'Historical data'!Q58</f>
        <v>0.35255496104044015</v>
      </c>
    </row>
    <row r="16" spans="2:17" ht="14.25" customHeight="1" x14ac:dyDescent="0.3">
      <c r="B16" s="78" t="s">
        <v>149</v>
      </c>
      <c r="C16" s="79">
        <f>'Historical data'!C22/'Historical data'!C25</f>
        <v>1.0453853834815268</v>
      </c>
      <c r="D16" s="79">
        <f>'Historical data'!D22/'Historical data'!D25</f>
        <v>0.70742899071642029</v>
      </c>
      <c r="E16" s="79">
        <f>'Historical data'!E22/'Historical data'!E25</f>
        <v>0.96855635491606806</v>
      </c>
      <c r="F16" s="79">
        <f>'Historical data'!F22/'Historical data'!F25</f>
        <v>0.92829564749105986</v>
      </c>
      <c r="G16" s="79">
        <f>'Historical data'!G22/'Historical data'!G25</f>
        <v>1.0412852615331669</v>
      </c>
      <c r="H16" s="79">
        <f>'Historical data'!H22/'Historical data'!H25</f>
        <v>1.0128711434509288</v>
      </c>
      <c r="I16" s="79">
        <f>'Historical data'!I22/'Historical data'!I25</f>
        <v>0.98099344641039543</v>
      </c>
      <c r="J16" s="79">
        <f>'Historical data'!J22/'Historical data'!J25</f>
        <v>1.4998014339919115</v>
      </c>
      <c r="K16" s="79">
        <f>'Historical data'!K22/'Historical data'!K25</f>
        <v>1.772001343983123</v>
      </c>
      <c r="L16" s="79">
        <f>'Historical data'!L22/'Historical data'!L25</f>
        <v>1.6093813905444199</v>
      </c>
      <c r="M16" s="80">
        <f>'Historical data'!M22/'Historical data'!M25</f>
        <v>1.6330884350312915</v>
      </c>
      <c r="N16" s="80">
        <f>'Historical data'!N22/'Historical data'!N25</f>
        <v>1.6990515917699294</v>
      </c>
      <c r="O16" s="80">
        <f>'Historical data'!O22/'Historical data'!O25</f>
        <v>1.7612665818269098</v>
      </c>
      <c r="P16" s="80">
        <f>'Historical data'!P22/'Historical data'!P25</f>
        <v>1.8200440477075273</v>
      </c>
      <c r="Q16" s="80">
        <f>'Historical data'!Q22/'Historical data'!Q25</f>
        <v>1.8756612273041229</v>
      </c>
    </row>
    <row r="17" spans="2:17" ht="14.25" customHeight="1" x14ac:dyDescent="0.3">
      <c r="B17" s="78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</row>
    <row r="18" spans="2:17" ht="14.25" customHeight="1" x14ac:dyDescent="0.3">
      <c r="B18" s="81" t="s">
        <v>150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</row>
    <row r="19" spans="2:17" ht="14.25" customHeight="1" x14ac:dyDescent="0.3">
      <c r="B19" s="78" t="s">
        <v>151</v>
      </c>
      <c r="C19" s="79">
        <f>'Historical data'!C7/'Historical data'!C58</f>
        <v>0.33306575478279055</v>
      </c>
      <c r="D19" s="79">
        <f>'Historical data'!D7/'Historical data'!D58</f>
        <v>0.32775283972265851</v>
      </c>
      <c r="E19" s="79">
        <f>'Historical data'!E7/'Historical data'!E58</f>
        <v>0.35541616948230026</v>
      </c>
      <c r="F19" s="79">
        <f>'Historical data'!F7/'Historical data'!F58</f>
        <v>0.3249146825425589</v>
      </c>
      <c r="G19" s="79">
        <f>'Historical data'!G7/'Historical data'!G58</f>
        <v>0.331492200484031</v>
      </c>
      <c r="H19" s="79">
        <f>'Historical data'!H7/'Historical data'!H58</f>
        <v>0.38041469395066141</v>
      </c>
      <c r="I19" s="79">
        <f>'Historical data'!I7/'Historical data'!I58</f>
        <v>0.43021655453474239</v>
      </c>
      <c r="J19" s="79">
        <f>'Historical data'!J7/'Historical data'!J58</f>
        <v>0.4419054700894039</v>
      </c>
      <c r="K19" s="79">
        <f>'Historical data'!K7/'Historical data'!K58</f>
        <v>0.41921285996262325</v>
      </c>
      <c r="L19" s="79">
        <f>'Historical data'!L7/'Historical data'!L58</f>
        <v>0.35762530745128551</v>
      </c>
      <c r="M19" s="80">
        <f>'Historical data'!M7/'Historical data'!M58</f>
        <v>0.41023693432628844</v>
      </c>
      <c r="N19" s="80">
        <f>'Historical data'!N7/'Historical data'!N58</f>
        <v>0.41393255189584405</v>
      </c>
      <c r="O19" s="80">
        <f>'Historical data'!O7/'Historical data'!O58</f>
        <v>0.41722497488887389</v>
      </c>
      <c r="P19" s="80">
        <f>'Historical data'!P7/'Historical data'!P58</f>
        <v>0.42017677332235298</v>
      </c>
      <c r="Q19" s="80">
        <f>'Historical data'!Q7/'Historical data'!Q58</f>
        <v>0.42283820735830435</v>
      </c>
    </row>
    <row r="20" spans="2:17" ht="14.25" customHeight="1" x14ac:dyDescent="0.3">
      <c r="B20" s="78" t="s">
        <v>152</v>
      </c>
      <c r="C20" s="79">
        <f>'Historical data'!C10/'Historical data'!C54</f>
        <v>13.136775113156119</v>
      </c>
      <c r="D20" s="79">
        <f>'Historical data'!D10/'Historical data'!D54</f>
        <v>12.238657367474186</v>
      </c>
      <c r="E20" s="79">
        <f>'Historical data'!E10/'Historical data'!E54</f>
        <v>13.18372381945828</v>
      </c>
      <c r="F20" s="79">
        <f>'Historical data'!F10/'Historical data'!F54</f>
        <v>11.777966730390618</v>
      </c>
      <c r="G20" s="79">
        <f>'Historical data'!G10/'Historical data'!G54</f>
        <v>13.250623137217469</v>
      </c>
      <c r="H20" s="79">
        <f>'Historical data'!H10/'Historical data'!H54</f>
        <v>8.0915061254584622</v>
      </c>
      <c r="I20" s="79">
        <f>'Historical data'!I10/'Historical data'!I54</f>
        <v>11.555183013431805</v>
      </c>
      <c r="J20" s="79">
        <f>'Historical data'!J10/'Historical data'!J54</f>
        <v>11.102913592314287</v>
      </c>
      <c r="K20" s="79">
        <f>'Historical data'!K10/'Historical data'!K54</f>
        <v>10.909926462546645</v>
      </c>
      <c r="L20" s="79">
        <f>'Historical data'!L10/'Historical data'!L54</f>
        <v>9.3042794715367556</v>
      </c>
      <c r="M20" s="80">
        <f>'Historical data'!M10/'Historical data'!M54</f>
        <v>9.9953499062509419</v>
      </c>
      <c r="N20" s="80">
        <f>'Historical data'!N10/'Historical data'!N54</f>
        <v>9.9138945001083076</v>
      </c>
      <c r="O20" s="80">
        <f>'Historical data'!O10/'Historical data'!O54</f>
        <v>9.8438155029447572</v>
      </c>
      <c r="P20" s="80">
        <f>'Historical data'!P10/'Historical data'!P54</f>
        <v>9.7828851665584402</v>
      </c>
      <c r="Q20" s="80">
        <f>'Historical data'!Q10/'Historical data'!Q54</f>
        <v>9.7294217575941175</v>
      </c>
    </row>
    <row r="21" spans="2:17" ht="28.5" customHeight="1" x14ac:dyDescent="0.3">
      <c r="B21" s="78" t="s">
        <v>153</v>
      </c>
      <c r="C21" s="79">
        <f>'Historical data'!C7/'Historical data'!C53</f>
        <v>7.1990412617558954</v>
      </c>
      <c r="D21" s="79">
        <f>'Historical data'!D7/'Historical data'!D53</f>
        <v>9.6238593295636683</v>
      </c>
      <c r="E21" s="79">
        <f>'Historical data'!E7/'Historical data'!E53</f>
        <v>6.7220050120802837</v>
      </c>
      <c r="F21" s="79">
        <f>'Historical data'!F7/'Historical data'!F53</f>
        <v>6.5831514494227168</v>
      </c>
      <c r="G21" s="79">
        <f>'Historical data'!G7/'Historical data'!G53</f>
        <v>6.2890013230565689</v>
      </c>
      <c r="H21" s="79">
        <f>'Historical data'!H7/'Historical data'!H53</f>
        <v>7.1601223464565349</v>
      </c>
      <c r="I21" s="79">
        <f>'Historical data'!I7/'Historical data'!I53</f>
        <v>7.9269118186460314</v>
      </c>
      <c r="J21" s="79">
        <f>'Historical data'!J7/'Historical data'!J53</f>
        <v>8.3020094059599909</v>
      </c>
      <c r="K21" s="79">
        <f>'Historical data'!K7/'Historical data'!K53</f>
        <v>11.467734308502255</v>
      </c>
      <c r="L21" s="79">
        <f>'Historical data'!L7/'Historical data'!L53</f>
        <v>14.111472526876373</v>
      </c>
      <c r="M21" s="80">
        <f>'Historical data'!M7/'Historical data'!M53</f>
        <v>10.524688730931029</v>
      </c>
      <c r="N21" s="80">
        <f>'Historical data'!N7/'Historical data'!N53</f>
        <v>10.795666065942973</v>
      </c>
      <c r="O21" s="80">
        <f>'Historical data'!O7/'Historical data'!O53</f>
        <v>11.04476581055442</v>
      </c>
      <c r="P21" s="80">
        <f>'Historical data'!P7/'Historical data'!P53</f>
        <v>11.274534620900512</v>
      </c>
      <c r="Q21" s="80">
        <f>'Historical data'!Q7/'Historical data'!Q53</f>
        <v>11.487138659602479</v>
      </c>
    </row>
    <row r="22" spans="2:17" ht="14.25" customHeight="1" x14ac:dyDescent="0.3">
      <c r="B22" s="78" t="s">
        <v>154</v>
      </c>
      <c r="C22" s="79">
        <f>'Historical data'!C10/'Historical data'!C41</f>
        <v>3.6962286719437119</v>
      </c>
      <c r="D22" s="79">
        <f>'Historical data'!D10/'Historical data'!D41</f>
        <v>3.2111736178467507</v>
      </c>
      <c r="E22" s="79">
        <f>'Historical data'!E10/'Historical data'!E41</f>
        <v>3.1376527196652715</v>
      </c>
      <c r="F22" s="79">
        <f>'Historical data'!F10/'Historical data'!F41</f>
        <v>2.864157646405773</v>
      </c>
      <c r="G22" s="79">
        <f>'Historical data'!G10/'Historical data'!G41</f>
        <v>3.3159442601194429</v>
      </c>
      <c r="H22" s="79">
        <f>'Historical data'!H10/'Historical data'!H41</f>
        <v>3.8899534196773455</v>
      </c>
      <c r="I22" s="79">
        <f>'Historical data'!I10/'Historical data'!I41</f>
        <v>5.0243383325981474</v>
      </c>
      <c r="J22" s="79">
        <f>'Historical data'!J10/'Historical data'!J41</f>
        <v>5.1254198871944849</v>
      </c>
      <c r="K22" s="79">
        <f>'Historical data'!K10/'Historical data'!K41</f>
        <v>4.7566488651535384</v>
      </c>
      <c r="L22" s="79">
        <f>'Historical data'!L10/'Historical data'!L41</f>
        <v>4.1999920459566944</v>
      </c>
      <c r="M22" s="80">
        <f>'Historical data'!M10/'Historical data'!M41</f>
        <v>4.7927573565783126</v>
      </c>
      <c r="N22" s="80">
        <f>'Historical data'!N10/'Historical data'!N41</f>
        <v>4.8858845493646497</v>
      </c>
      <c r="O22" s="80">
        <f>'Historical data'!O10/'Historical data'!O41</f>
        <v>4.9702514177542332</v>
      </c>
      <c r="P22" s="80">
        <f>'Historical data'!P10/'Historical data'!P41</f>
        <v>5.0470385385899377</v>
      </c>
      <c r="Q22" s="80">
        <f>'Historical data'!Q10/'Historical data'!Q41</f>
        <v>5.1172234758941357</v>
      </c>
    </row>
    <row r="23" spans="2:17" ht="28.5" customHeight="1" x14ac:dyDescent="0.3">
      <c r="B23" s="78" t="s">
        <v>155</v>
      </c>
      <c r="C23" s="79">
        <f>'Historical data'!C7/'Historical data'!C48</f>
        <v>0.59207456455968577</v>
      </c>
      <c r="D23" s="79">
        <f>'Historical data'!D7/'Historical data'!D48</f>
        <v>0.60104160088641545</v>
      </c>
      <c r="E23" s="79">
        <f>'Historical data'!E7/'Historical data'!E48</f>
        <v>0.67444157969921603</v>
      </c>
      <c r="F23" s="79">
        <f>'Historical data'!F7/'Historical data'!F48</f>
        <v>0.61125645004149676</v>
      </c>
      <c r="G23" s="79">
        <f>'Historical data'!G7/'Historical data'!G48</f>
        <v>0.62675053158205918</v>
      </c>
      <c r="H23" s="79">
        <f>'Historical data'!H7/'Historical data'!H48</f>
        <v>0.74605484911509845</v>
      </c>
      <c r="I23" s="79">
        <f>'Historical data'!I7/'Historical data'!I48</f>
        <v>0.89250301149892153</v>
      </c>
      <c r="J23" s="79">
        <f>'Historical data'!J7/'Historical data'!J48</f>
        <v>0.9142880863972328</v>
      </c>
      <c r="K23" s="79">
        <f>'Historical data'!K7/'Historical data'!K48</f>
        <v>0.83545411430743421</v>
      </c>
      <c r="L23" s="79">
        <f>'Historical data'!L7/'Historical data'!L48</f>
        <v>0.71516400743292474</v>
      </c>
      <c r="M23" s="80">
        <f>'Historical data'!M7/'Historical data'!M48</f>
        <v>0.84311492876797411</v>
      </c>
      <c r="N23" s="80">
        <f>'Historical data'!N7/'Historical data'!N48</f>
        <v>0.85576217590565928</v>
      </c>
      <c r="O23" s="80">
        <f>'Historical data'!O7/'Historical data'!O48</f>
        <v>0.86715679790213696</v>
      </c>
      <c r="P23" s="80">
        <f>'Historical data'!P7/'Historical data'!P48</f>
        <v>0.87747611001181314</v>
      </c>
      <c r="Q23" s="80">
        <f>'Historical data'!Q7/'Historical data'!Q48</f>
        <v>0.886865468987447</v>
      </c>
    </row>
    <row r="24" spans="2:17" ht="14.25" customHeight="1" x14ac:dyDescent="0.3">
      <c r="B24" s="78" t="s">
        <v>156</v>
      </c>
      <c r="C24" s="79">
        <f>'Historical data'!C10/SUM('Historical data'!C46,'Historical data'!C58)</f>
        <v>0.12684563401870308</v>
      </c>
      <c r="D24" s="79">
        <f>'Historical data'!D10/SUM('Historical data'!D46,'Historical data'!D58)</f>
        <v>0.12128393807438598</v>
      </c>
      <c r="E24" s="79">
        <f>'Historical data'!E10/SUM('Historical data'!E46,'Historical data'!E58)</f>
        <v>0.1337935619144405</v>
      </c>
      <c r="F24" s="79">
        <f>'Historical data'!F10/SUM('Historical data'!F46,'Historical data'!F58)</f>
        <v>0.11507873360267216</v>
      </c>
      <c r="G24" s="79">
        <f>'Historical data'!G10/SUM('Historical data'!G46,'Historical data'!G58)</f>
        <v>0.12663159759825268</v>
      </c>
      <c r="H24" s="79">
        <f>'Historical data'!H10/SUM('Historical data'!H46,'Historical data'!H58)</f>
        <v>0.15210738801487231</v>
      </c>
      <c r="I24" s="79">
        <f>'Historical data'!I10/SUM('Historical data'!I46,'Historical data'!I58)</f>
        <v>0.17783791143121094</v>
      </c>
      <c r="J24" s="79">
        <f>'Historical data'!J10/SUM('Historical data'!J46,'Historical data'!J58)</f>
        <v>0.17644450661036257</v>
      </c>
      <c r="K24" s="79">
        <f>'Historical data'!K10/SUM('Historical data'!K46,'Historical data'!K58)</f>
        <v>0.15966824441253244</v>
      </c>
      <c r="L24" s="79">
        <f>'Historical data'!L10/SUM('Historical data'!L46,'Historical data'!L58)</f>
        <v>0.1361186861639016</v>
      </c>
      <c r="M24" s="80">
        <f>'Historical data'!M10/SUM('Historical data'!M46,'Historical data'!M58)</f>
        <v>0.16093874379079862</v>
      </c>
      <c r="N24" s="80">
        <f>'Historical data'!N10/SUM('Historical data'!N46,'Historical data'!N58)</f>
        <v>0.16262618406471993</v>
      </c>
      <c r="O24" s="80">
        <f>'Historical data'!O10/SUM('Historical data'!O46,'Historical data'!O58)</f>
        <v>0.16412952337206346</v>
      </c>
      <c r="P24" s="80">
        <f>'Historical data'!P10/SUM('Historical data'!P46,'Historical data'!P58)</f>
        <v>0.16547733154306651</v>
      </c>
      <c r="Q24" s="80">
        <f>'Historical data'!Q10/SUM('Historical data'!Q46,'Historical data'!Q58)</f>
        <v>0.16669255765727437</v>
      </c>
    </row>
    <row r="25" spans="2:17" ht="14.25" customHeight="1" x14ac:dyDescent="0.3">
      <c r="B25" s="78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</row>
    <row r="26" spans="2:17" ht="14.25" customHeight="1" x14ac:dyDescent="0.3">
      <c r="B26" s="81" t="s">
        <v>157</v>
      </c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</row>
    <row r="27" spans="2:17" ht="14.25" customHeight="1" x14ac:dyDescent="0.3">
      <c r="B27" s="78" t="s">
        <v>158</v>
      </c>
      <c r="C27" s="79">
        <f>'Historical data'!C56/SUM('Historical data'!C40:C42)</f>
        <v>1.1106052173913044</v>
      </c>
      <c r="D27" s="79">
        <f>'Historical data'!D56/SUM('Historical data'!D40:D42)</f>
        <v>0.89051702195354754</v>
      </c>
      <c r="E27" s="79">
        <f>'Historical data'!E56/SUM('Historical data'!E40:E42)</f>
        <v>0.9568574186431329</v>
      </c>
      <c r="F27" s="79">
        <f>'Historical data'!F56/SUM('Historical data'!F40:F42)</f>
        <v>1.1383555800192653</v>
      </c>
      <c r="G27" s="79">
        <f>'Historical data'!G56/SUM('Historical data'!G40:G42)</f>
        <v>1.6804630350194552</v>
      </c>
      <c r="H27" s="79">
        <f>'Historical data'!H56/SUM('Historical data'!H40:H42)</f>
        <v>1.8896568737385062</v>
      </c>
      <c r="I27" s="79">
        <f>'Historical data'!I56/SUM('Historical data'!I40:I42)</f>
        <v>2.398953652447628</v>
      </c>
      <c r="J27" s="79">
        <f>'Historical data'!J56/SUM('Historical data'!J40:J42)</f>
        <v>2.120650151668352</v>
      </c>
      <c r="K27" s="79">
        <f>'Historical data'!K56/SUM('Historical data'!K40:K42)</f>
        <v>2.0434594694861805</v>
      </c>
      <c r="L27" s="79">
        <f>'Historical data'!L56/SUM('Historical data'!L40:L42)</f>
        <v>1.9932570740517759</v>
      </c>
      <c r="M27" s="80">
        <f>'Historical data'!M56/SUM('Historical data'!M40:M42)</f>
        <v>2.27923997398441</v>
      </c>
      <c r="N27" s="80">
        <f>'Historical data'!N56/SUM('Historical data'!N40:N42)</f>
        <v>2.348174665743989</v>
      </c>
      <c r="O27" s="80">
        <f>'Historical data'!O56/SUM('Historical data'!O40:O42)</f>
        <v>2.4105039662968126</v>
      </c>
      <c r="P27" s="80">
        <f>'Historical data'!P56/SUM('Historical data'!P40:P42)</f>
        <v>2.467133871718874</v>
      </c>
      <c r="Q27" s="80">
        <f>'Historical data'!Q56/SUM('Historical data'!Q40:Q42)</f>
        <v>2.5188119335020964</v>
      </c>
    </row>
    <row r="28" spans="2:17" ht="14.25" customHeight="1" x14ac:dyDescent="0.3">
      <c r="B28" s="78" t="s">
        <v>159</v>
      </c>
      <c r="C28" s="79">
        <f>('Historical data'!C56-'Historical data'!C54)/SUM('Historical data'!C40:C42)</f>
        <v>0.83242086956521744</v>
      </c>
      <c r="D28" s="79">
        <f>('Historical data'!D56-'Historical data'!D54)/SUM('Historical data'!D40:D42)</f>
        <v>0.63231148584155261</v>
      </c>
      <c r="E28" s="79">
        <f>('Historical data'!E56-'Historical data'!E54)/SUM('Historical data'!E40:E42)</f>
        <v>0.72155405405405404</v>
      </c>
      <c r="F28" s="79">
        <f>('Historical data'!F56-'Historical data'!F54)/SUM('Historical data'!F40:F42)</f>
        <v>0.8972175588275767</v>
      </c>
      <c r="G28" s="79">
        <f>('Historical data'!G56-'Historical data'!G54)/SUM('Historical data'!G40:G42)</f>
        <v>1.4358949416342413</v>
      </c>
      <c r="H28" s="79">
        <f>('Historical data'!H56-'Historical data'!H54)/SUM('Historical data'!H40:H42)</f>
        <v>1.4151648351648349</v>
      </c>
      <c r="I28" s="79">
        <f>('Historical data'!I56-'Historical data'!I54)/SUM('Historical data'!I40:I42)</f>
        <v>1.9709844784543575</v>
      </c>
      <c r="J28" s="79">
        <f>('Historical data'!J56-'Historical data'!J54)/SUM('Historical data'!J40:J42)</f>
        <v>1.6737714863498483</v>
      </c>
      <c r="K28" s="79">
        <f>('Historical data'!K56-'Historical data'!K54)/SUM('Historical data'!K40:K42)</f>
        <v>1.6194360971990354</v>
      </c>
      <c r="L28" s="79">
        <f>('Historical data'!L56-'Historical data'!L54)/SUM('Historical data'!L40:L42)</f>
        <v>1.5539657693300077</v>
      </c>
      <c r="M28" s="80">
        <f>('Historical data'!M56-'Historical data'!M54)/SUM('Historical data'!M40:M42)</f>
        <v>1.8130585215032256</v>
      </c>
      <c r="N28" s="80">
        <f>('Historical data'!N56-'Historical data'!N54)/SUM('Historical data'!N40:N42)</f>
        <v>1.8695170205892733</v>
      </c>
      <c r="O28" s="80">
        <f>('Historical data'!O56-'Historical data'!O54)/SUM('Historical data'!O40:O42)</f>
        <v>1.9205656097462218</v>
      </c>
      <c r="P28" s="80">
        <f>('Historical data'!P56-'Historical data'!P54)/SUM('Historical data'!P40:P42)</f>
        <v>1.9669463127261568</v>
      </c>
      <c r="Q28" s="80">
        <f>('Historical data'!Q56-'Historical data'!Q54)/SUM('Historical data'!Q40:Q42)</f>
        <v>2.0092713848992894</v>
      </c>
    </row>
    <row r="29" spans="2:17" ht="14.25" customHeight="1" x14ac:dyDescent="0.3">
      <c r="B29" s="78" t="s">
        <v>160</v>
      </c>
      <c r="C29" s="79">
        <f>'Historical data'!C55/SUM('Historical data'!C40:C42)</f>
        <v>0.16596521739130435</v>
      </c>
      <c r="D29" s="79">
        <f>'Historical data'!D55/SUM('Historical data'!D40:D42)</f>
        <v>0.18863824371619473</v>
      </c>
      <c r="E29" s="79">
        <f>'Historical data'!E55/SUM('Historical data'!E40:E42)</f>
        <v>0.10858383894098181</v>
      </c>
      <c r="F29" s="79">
        <f>'Historical data'!F55/SUM('Historical data'!F40:F42)</f>
        <v>0.28817668914269984</v>
      </c>
      <c r="G29" s="79">
        <f>'Historical data'!G55/SUM('Historical data'!G40:G42)</f>
        <v>0.76143579766536962</v>
      </c>
      <c r="H29" s="79">
        <f>'Historical data'!H55/SUM('Historical data'!H40:H42)</f>
        <v>0.74464005382372722</v>
      </c>
      <c r="I29" s="79">
        <f>'Historical data'!I55/SUM('Historical data'!I40:I42)</f>
        <v>1.2163822859003584</v>
      </c>
      <c r="J29" s="79">
        <f>'Historical data'!J55/SUM('Historical data'!J40:J42)</f>
        <v>0.92537007077856415</v>
      </c>
      <c r="K29" s="79">
        <f>'Historical data'!K55/SUM('Historical data'!K40:K42)</f>
        <v>1.0898701539603042</v>
      </c>
      <c r="L29" s="79">
        <f>'Historical data'!L55/SUM('Historical data'!L40:L42)</f>
        <v>1.1734755310914251</v>
      </c>
      <c r="M29" s="80">
        <f>'Historical data'!M55/SUM('Historical data'!M40:M42)</f>
        <v>1.2487873178144369</v>
      </c>
      <c r="N29" s="80">
        <f>'Historical data'!N55/SUM('Historical data'!N40:N42)</f>
        <v>1.3101086454312156</v>
      </c>
      <c r="O29" s="80">
        <f>'Historical data'!O55/SUM('Historical data'!O40:O42)</f>
        <v>1.3655541020186528</v>
      </c>
      <c r="P29" s="80">
        <f>'Historical data'!P55/SUM('Historical data'!P40:P42)</f>
        <v>1.4159296225969527</v>
      </c>
      <c r="Q29" s="80">
        <f>'Historical data'!Q55/SUM('Historical data'!Q40:Q42)</f>
        <v>1.4619001967203733</v>
      </c>
    </row>
    <row r="30" spans="2:17" ht="14.25" customHeight="1" x14ac:dyDescent="0.3">
      <c r="B30" s="78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</row>
    <row r="31" spans="2:17" ht="14.25" customHeight="1" x14ac:dyDescent="0.3">
      <c r="B31" s="81" t="s">
        <v>161</v>
      </c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</row>
    <row r="32" spans="2:17" ht="14.25" customHeight="1" x14ac:dyDescent="0.3">
      <c r="B32" s="78" t="s">
        <v>162</v>
      </c>
      <c r="C32" s="79">
        <f>'Historical data'!C32/Data!B93</f>
        <v>-0.73107068914522899</v>
      </c>
      <c r="D32" s="79">
        <f>'Historical data'!D32/Data!C93</f>
        <v>-4.6675170068027194</v>
      </c>
      <c r="E32" s="79">
        <f>'Historical data'!E32/Data!D93</f>
        <v>-4.5057305530907872</v>
      </c>
      <c r="F32" s="79">
        <f>'Historical data'!F32/Data!E93</f>
        <v>-3.5629621413782879</v>
      </c>
      <c r="G32" s="79">
        <f>'Historical data'!G32/Data!F93</f>
        <v>-1.0525146308640898</v>
      </c>
      <c r="H32" s="79">
        <f>'Historical data'!H32/Data!G93</f>
        <v>-1.0324226207241785</v>
      </c>
      <c r="I32" s="79">
        <f>'Historical data'!I32/Data!H93</f>
        <v>-5.4155165399179879</v>
      </c>
      <c r="J32" s="79">
        <f>'Historical data'!J32/Data!I93</f>
        <v>2.7032516508622169</v>
      </c>
      <c r="K32" s="79">
        <f>'Historical data'!K32/Data!J93</f>
        <v>6.5284636810315044</v>
      </c>
      <c r="L32" s="79">
        <f>'Historical data'!L32/Data!K93</f>
        <v>5.2732450787093557</v>
      </c>
      <c r="M32" s="80">
        <f t="shared" ref="M32:Q34" si="0">FORECAST(M3,$C32:$L32,$C$3:$L$3)</f>
        <v>4.7839130389470341</v>
      </c>
      <c r="N32" s="80">
        <f t="shared" si="0"/>
        <v>5.7707288228000806</v>
      </c>
      <c r="O32" s="80">
        <f t="shared" si="0"/>
        <v>6.7575446066531413</v>
      </c>
      <c r="P32" s="80">
        <f t="shared" si="0"/>
        <v>7.744360390506202</v>
      </c>
      <c r="Q32" s="80">
        <f t="shared" si="0"/>
        <v>8.7311761743592484</v>
      </c>
    </row>
    <row r="33" spans="2:17" ht="14.25" customHeight="1" x14ac:dyDescent="0.3">
      <c r="B33" s="78" t="s">
        <v>163</v>
      </c>
      <c r="C33" s="79">
        <f>Data!B90/'Ratio Analysis'!C32</f>
        <v>-123.58586022049059</v>
      </c>
      <c r="D33" s="79">
        <f>Data!C90/'Ratio Analysis'!D32</f>
        <v>-16.925487338312994</v>
      </c>
      <c r="E33" s="79">
        <f>Data!D90/'Ratio Analysis'!E32</f>
        <v>-16.379141879528405</v>
      </c>
      <c r="F33" s="79">
        <f>Data!E90/'Ratio Analysis'!F32</f>
        <v>-9.2198565958639076</v>
      </c>
      <c r="G33" s="79">
        <f>Data!F90/'Ratio Analysis'!G32</f>
        <v>-98.098398798726606</v>
      </c>
      <c r="H33" s="79">
        <f>Data!G90/'Ratio Analysis'!H32</f>
        <v>-231.15533814301966</v>
      </c>
      <c r="I33" s="79">
        <f>Data!H90/'Ratio Analysis'!I32</f>
        <v>-35.130536228199041</v>
      </c>
      <c r="J33" s="79">
        <f>Data!I90/'Ratio Analysis'!J32</f>
        <v>145.82438149044236</v>
      </c>
      <c r="K33" s="79">
        <f>Data!J90/'Ratio Analysis'!K32</f>
        <v>57.502043105597295</v>
      </c>
      <c r="L33" s="79">
        <f>Data!K90/'Ratio Analysis'!L32</f>
        <v>71.824843022979763</v>
      </c>
      <c r="M33" s="80">
        <f t="shared" si="0"/>
        <v>-2150.7697414699287</v>
      </c>
      <c r="N33" s="80">
        <f t="shared" si="0"/>
        <v>-2150.7697414699287</v>
      </c>
      <c r="O33" s="80">
        <f t="shared" si="0"/>
        <v>-2150.7697414699287</v>
      </c>
      <c r="P33" s="80">
        <f t="shared" si="0"/>
        <v>-2150.7697414699287</v>
      </c>
      <c r="Q33" s="80">
        <f t="shared" si="0"/>
        <v>-2150.7697414699287</v>
      </c>
    </row>
    <row r="34" spans="2:17" ht="14.25" customHeight="1" x14ac:dyDescent="0.3">
      <c r="B34" s="78" t="s">
        <v>164</v>
      </c>
      <c r="C34" s="79">
        <f t="array" ref="C34">SUM('Historical data'!C36:C37/Data!B93)</f>
        <v>48.855922803904164</v>
      </c>
      <c r="D34" s="79">
        <f t="array" ref="D34">SUM('Historical data'!D36:D37/Data!C93)</f>
        <v>60.632505175983425</v>
      </c>
      <c r="E34" s="79">
        <f t="array" ref="E34">SUM('Historical data'!E36:E37/Data!D93)</f>
        <v>67.677868973676425</v>
      </c>
      <c r="F34" s="79">
        <f t="array" ref="F34">SUM('Historical data'!F36:F37/Data!E93)</f>
        <v>72.338139603667557</v>
      </c>
      <c r="G34" s="79">
        <f t="array" ref="G34">SUM('Historical data'!G36:G37/Data!F93)</f>
        <v>69.859668888680261</v>
      </c>
      <c r="H34" s="79">
        <f t="array" ref="H34">SUM('Historical data'!H36:H37/Data!G93)</f>
        <v>70.233029762463616</v>
      </c>
      <c r="I34" s="79">
        <f t="array" ref="I34">SUM('Historical data'!I36:I37/Data!H93)</f>
        <v>90.093042906769313</v>
      </c>
      <c r="J34" s="79">
        <f t="array" ref="J34">SUM('Historical data'!J36:J37/Data!I93)</f>
        <v>101.25900541420211</v>
      </c>
      <c r="K34" s="79">
        <f t="array" ref="K34">SUM('Historical data'!K36:K37/Data!J93)</f>
        <v>112.1668387944794</v>
      </c>
      <c r="L34" s="79">
        <f t="array" ref="L34">SUM('Historical data'!L36:L37/Data!K93)</f>
        <v>123.51644603010674</v>
      </c>
      <c r="M34" s="80">
        <f t="shared" si="0"/>
        <v>-843.78029143423589</v>
      </c>
      <c r="N34" s="80">
        <f t="shared" si="0"/>
        <v>-843.78029143423589</v>
      </c>
      <c r="O34" s="80">
        <f t="shared" si="0"/>
        <v>-843.78029143423589</v>
      </c>
      <c r="P34" s="80">
        <f t="shared" si="0"/>
        <v>-843.78029143423589</v>
      </c>
      <c r="Q34" s="80">
        <f t="shared" si="0"/>
        <v>-843.78029143423589</v>
      </c>
    </row>
    <row r="35" spans="2:17" ht="14.25" customHeight="1" x14ac:dyDescent="0.3">
      <c r="B35" s="78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</row>
    <row r="36" spans="2:17" ht="14.25" customHeight="1" x14ac:dyDescent="0.3">
      <c r="B36" s="81" t="s">
        <v>165</v>
      </c>
    </row>
    <row r="37" spans="2:17" ht="14.25" customHeight="1" x14ac:dyDescent="0.3">
      <c r="B37" s="78" t="s">
        <v>166</v>
      </c>
    </row>
    <row r="38" spans="2:17" ht="14.25" customHeight="1" x14ac:dyDescent="0.3">
      <c r="B38" s="78" t="s">
        <v>167</v>
      </c>
      <c r="C38" s="82">
        <f t="shared" ref="C38:Q38" si="1">365/C20</f>
        <v>27.784596817407838</v>
      </c>
      <c r="D38" s="82">
        <f t="shared" si="1"/>
        <v>29.823532846832912</v>
      </c>
      <c r="E38" s="82">
        <f t="shared" si="1"/>
        <v>27.685652779018689</v>
      </c>
      <c r="F38" s="82">
        <f t="shared" si="1"/>
        <v>30.990068859525017</v>
      </c>
      <c r="G38" s="82">
        <f t="shared" si="1"/>
        <v>27.545874350226768</v>
      </c>
      <c r="H38" s="82">
        <f t="shared" si="1"/>
        <v>45.109030919669387</v>
      </c>
      <c r="I38" s="82">
        <f t="shared" si="1"/>
        <v>31.587556819803037</v>
      </c>
      <c r="J38" s="82">
        <f t="shared" si="1"/>
        <v>32.874253858254114</v>
      </c>
      <c r="K38" s="82">
        <f t="shared" si="1"/>
        <v>33.455770875544474</v>
      </c>
      <c r="L38" s="82">
        <f t="shared" si="1"/>
        <v>39.22926016104654</v>
      </c>
      <c r="M38" s="83">
        <f t="shared" si="1"/>
        <v>36.516980738386607</v>
      </c>
      <c r="N38" s="83">
        <f t="shared" si="1"/>
        <v>36.817014745921739</v>
      </c>
      <c r="O38" s="83">
        <f t="shared" si="1"/>
        <v>37.079118344996509</v>
      </c>
      <c r="P38" s="83">
        <f t="shared" si="1"/>
        <v>37.310056674048113</v>
      </c>
      <c r="Q38" s="83">
        <f t="shared" si="1"/>
        <v>37.515076342035037</v>
      </c>
    </row>
    <row r="39" spans="2:17" ht="14.25" customHeight="1" x14ac:dyDescent="0.3">
      <c r="B39" s="78" t="s">
        <v>168</v>
      </c>
      <c r="C39" s="82">
        <f t="shared" ref="C39:Q39" si="2">365/C21</f>
        <v>50.701195718799646</v>
      </c>
      <c r="D39" s="82">
        <f t="shared" si="2"/>
        <v>37.926572646251323</v>
      </c>
      <c r="E39" s="82">
        <f t="shared" si="2"/>
        <v>54.2992751930487</v>
      </c>
      <c r="F39" s="82">
        <f t="shared" si="2"/>
        <v>55.444569793697703</v>
      </c>
      <c r="G39" s="82">
        <f t="shared" si="2"/>
        <v>58.037831644564413</v>
      </c>
      <c r="H39" s="82">
        <f t="shared" si="2"/>
        <v>50.976782565822276</v>
      </c>
      <c r="I39" s="82">
        <f t="shared" si="2"/>
        <v>46.045674324448889</v>
      </c>
      <c r="J39" s="82">
        <f t="shared" si="2"/>
        <v>43.965259752412166</v>
      </c>
      <c r="K39" s="82">
        <f t="shared" si="2"/>
        <v>31.828431857667521</v>
      </c>
      <c r="L39" s="82">
        <f t="shared" si="2"/>
        <v>25.865479261985573</v>
      </c>
      <c r="M39" s="83">
        <f t="shared" si="2"/>
        <v>34.680360562807024</v>
      </c>
      <c r="N39" s="83">
        <f t="shared" si="2"/>
        <v>33.809863863005496</v>
      </c>
      <c r="O39" s="83">
        <f t="shared" si="2"/>
        <v>33.047328142639714</v>
      </c>
      <c r="P39" s="83">
        <f t="shared" si="2"/>
        <v>32.373841783533145</v>
      </c>
      <c r="Q39" s="83">
        <f t="shared" si="2"/>
        <v>31.774666504515849</v>
      </c>
    </row>
    <row r="40" spans="2:17" ht="14.25" customHeight="1" x14ac:dyDescent="0.3">
      <c r="B40" s="78" t="s">
        <v>169</v>
      </c>
      <c r="C40" s="82">
        <f t="shared" ref="C40:Q40" si="3">365/C22</f>
        <v>98.749301624799045</v>
      </c>
      <c r="D40" s="82">
        <f t="shared" si="3"/>
        <v>113.66560748115214</v>
      </c>
      <c r="E40" s="82">
        <f t="shared" si="3"/>
        <v>116.32899897186157</v>
      </c>
      <c r="F40" s="82">
        <f t="shared" si="3"/>
        <v>127.43711941206796</v>
      </c>
      <c r="G40" s="82">
        <f t="shared" si="3"/>
        <v>110.07422663577958</v>
      </c>
      <c r="H40" s="82">
        <f t="shared" si="3"/>
        <v>93.831457763387604</v>
      </c>
      <c r="I40" s="82">
        <f t="shared" si="3"/>
        <v>72.646381640317202</v>
      </c>
      <c r="J40" s="82">
        <f t="shared" si="3"/>
        <v>71.213677714859585</v>
      </c>
      <c r="K40" s="82">
        <f t="shared" si="3"/>
        <v>76.734695023198498</v>
      </c>
      <c r="L40" s="82">
        <f t="shared" si="3"/>
        <v>86.904926487035411</v>
      </c>
      <c r="M40" s="83">
        <f t="shared" si="3"/>
        <v>76.156578112392495</v>
      </c>
      <c r="N40" s="83">
        <f t="shared" si="3"/>
        <v>74.704998923370766</v>
      </c>
      <c r="O40" s="83">
        <f t="shared" si="3"/>
        <v>73.436928903874687</v>
      </c>
      <c r="P40" s="83">
        <f t="shared" si="3"/>
        <v>72.31963798357981</v>
      </c>
      <c r="Q40" s="83">
        <f t="shared" si="3"/>
        <v>71.327742811979363</v>
      </c>
    </row>
    <row r="41" spans="2:17" ht="14.25" customHeight="1" x14ac:dyDescent="0.3">
      <c r="B41" s="78"/>
    </row>
    <row r="42" spans="2:17" ht="14.25" customHeight="1" x14ac:dyDescent="0.3">
      <c r="B42" s="78" t="s">
        <v>170</v>
      </c>
      <c r="C42" s="84">
        <f t="shared" ref="C42:Q42" si="4">SUM(C38:C39)-C40</f>
        <v>-20.263509088591562</v>
      </c>
      <c r="D42" s="84">
        <f t="shared" si="4"/>
        <v>-45.915501988067902</v>
      </c>
      <c r="E42" s="84">
        <f t="shared" si="4"/>
        <v>-34.34407099979417</v>
      </c>
      <c r="F42" s="84">
        <f t="shared" si="4"/>
        <v>-41.002480758845238</v>
      </c>
      <c r="G42" s="84">
        <f t="shared" si="4"/>
        <v>-24.490520640988393</v>
      </c>
      <c r="H42" s="84">
        <f t="shared" si="4"/>
        <v>2.2543557221040516</v>
      </c>
      <c r="I42" s="84">
        <f t="shared" si="4"/>
        <v>4.9868495039347209</v>
      </c>
      <c r="J42" s="84">
        <f t="shared" si="4"/>
        <v>5.6258358958066879</v>
      </c>
      <c r="K42" s="84">
        <f t="shared" si="4"/>
        <v>-11.450492289986499</v>
      </c>
      <c r="L42" s="84">
        <f t="shared" si="4"/>
        <v>-21.810187064003301</v>
      </c>
      <c r="M42" s="85">
        <f t="shared" si="4"/>
        <v>-4.9592368111988634</v>
      </c>
      <c r="N42" s="85">
        <f t="shared" si="4"/>
        <v>-4.0781203144435381</v>
      </c>
      <c r="O42" s="85">
        <f t="shared" si="4"/>
        <v>-3.3104824162384574</v>
      </c>
      <c r="P42" s="85">
        <f t="shared" si="4"/>
        <v>-2.6357395259985594</v>
      </c>
      <c r="Q42" s="85">
        <f t="shared" si="4"/>
        <v>-2.0379999654284688</v>
      </c>
    </row>
  </sheetData>
  <mergeCells count="1">
    <mergeCell ref="B2:Q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40"/>
  <sheetViews>
    <sheetView showGridLines="0" topLeftCell="A16" zoomScale="80" zoomScaleNormal="80" workbookViewId="0">
      <selection activeCell="F24" sqref="F24"/>
    </sheetView>
  </sheetViews>
  <sheetFormatPr defaultColWidth="8.6640625" defaultRowHeight="14.4" x14ac:dyDescent="0.3"/>
  <cols>
    <col min="1" max="1" width="1.88671875" customWidth="1"/>
    <col min="2" max="2" width="14.77734375" customWidth="1"/>
    <col min="3" max="3" width="12.5546875" customWidth="1"/>
    <col min="5" max="5" width="18.109375" customWidth="1"/>
  </cols>
  <sheetData>
    <row r="1" spans="1:15" ht="14.25" customHeight="1" x14ac:dyDescent="0.3">
      <c r="A1" s="78"/>
    </row>
    <row r="2" spans="1:15" ht="14.25" customHeight="1" x14ac:dyDescent="0.3">
      <c r="B2" s="12" t="s">
        <v>171</v>
      </c>
      <c r="C2" s="12"/>
      <c r="E2" s="12" t="str">
        <f>"Discounted Cash Flow for " &amp;Data!B1</f>
        <v>Discounted Cash Flow for TATA POWER COMPANY LTD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ht="14.25" customHeight="1" x14ac:dyDescent="0.3">
      <c r="F3">
        <v>1</v>
      </c>
      <c r="G3">
        <v>2</v>
      </c>
      <c r="H3">
        <v>3</v>
      </c>
      <c r="I3">
        <v>4</v>
      </c>
      <c r="J3">
        <v>5</v>
      </c>
      <c r="K3">
        <v>6</v>
      </c>
      <c r="L3">
        <v>7</v>
      </c>
      <c r="M3">
        <v>8</v>
      </c>
      <c r="N3">
        <v>9</v>
      </c>
      <c r="O3">
        <v>10</v>
      </c>
    </row>
    <row r="4" spans="1:15" ht="14.25" customHeight="1" x14ac:dyDescent="0.3">
      <c r="B4" t="s">
        <v>172</v>
      </c>
      <c r="C4" s="86">
        <v>120752</v>
      </c>
      <c r="E4" t="s">
        <v>86</v>
      </c>
      <c r="F4" s="87">
        <f>'Historical data'!C22</f>
        <v>3517.6799999999985</v>
      </c>
      <c r="G4" s="87">
        <f>'Historical data'!D22</f>
        <v>2660.9800000000005</v>
      </c>
      <c r="H4" s="87">
        <f>'Historical data'!E22</f>
        <v>4038.8800000000037</v>
      </c>
      <c r="I4" s="87">
        <f>'Historical data'!F22</f>
        <v>4171.51</v>
      </c>
      <c r="J4" s="87">
        <f>'Historical data'!G22</f>
        <v>4175.9599999999973</v>
      </c>
      <c r="K4" s="87">
        <f>'Historical data'!H22</f>
        <v>3908.6900000000032</v>
      </c>
      <c r="L4" s="87">
        <f>'Historical data'!I22</f>
        <v>4288.5600000000049</v>
      </c>
      <c r="M4" s="87">
        <f>'Historical data'!J22</f>
        <v>6948.9100000000044</v>
      </c>
      <c r="N4" s="87">
        <f>'Historical data'!K22</f>
        <v>8332.7299999999959</v>
      </c>
      <c r="O4" s="87">
        <f>'Historical data'!L22</f>
        <v>8460.18</v>
      </c>
    </row>
    <row r="5" spans="1:15" ht="14.25" customHeight="1" x14ac:dyDescent="0.3">
      <c r="B5" t="s">
        <v>173</v>
      </c>
      <c r="C5" s="88">
        <v>76141.27</v>
      </c>
      <c r="E5" t="s">
        <v>174</v>
      </c>
      <c r="F5" s="23">
        <f t="shared" ref="F5:O5" si="0">$C$10</f>
        <v>0.47400722359750136</v>
      </c>
      <c r="G5" s="23">
        <f t="shared" si="0"/>
        <v>0.47400722359750136</v>
      </c>
      <c r="H5" s="23">
        <f t="shared" si="0"/>
        <v>0.47400722359750136</v>
      </c>
      <c r="I5" s="23">
        <f t="shared" si="0"/>
        <v>0.47400722359750136</v>
      </c>
      <c r="J5" s="23">
        <f t="shared" si="0"/>
        <v>0.47400722359750136</v>
      </c>
      <c r="K5" s="23">
        <f t="shared" si="0"/>
        <v>0.47400722359750136</v>
      </c>
      <c r="L5" s="23">
        <f t="shared" si="0"/>
        <v>0.47400722359750136</v>
      </c>
      <c r="M5" s="23">
        <f t="shared" si="0"/>
        <v>0.47400722359750136</v>
      </c>
      <c r="N5" s="23">
        <f t="shared" si="0"/>
        <v>0.47400722359750136</v>
      </c>
      <c r="O5" s="23">
        <f t="shared" si="0"/>
        <v>0.47400722359750136</v>
      </c>
    </row>
    <row r="6" spans="1:15" ht="14.25" customHeight="1" x14ac:dyDescent="0.3">
      <c r="B6" t="s">
        <v>175</v>
      </c>
      <c r="C6" s="89">
        <v>6.2600000000000003E-2</v>
      </c>
      <c r="E6" t="s">
        <v>176</v>
      </c>
      <c r="F6" s="87">
        <f>'Historical data'!C20</f>
        <v>1955.59</v>
      </c>
      <c r="G6" s="87">
        <f>'Historical data'!D20</f>
        <v>2346.17</v>
      </c>
      <c r="H6" s="87">
        <f>'Historical data'!E20</f>
        <v>2393.13</v>
      </c>
      <c r="I6" s="87">
        <f>'Historical data'!F20</f>
        <v>2633.56</v>
      </c>
      <c r="J6" s="87">
        <f>'Historical data'!G20</f>
        <v>2744.94</v>
      </c>
      <c r="K6" s="87">
        <f>'Historical data'!H20</f>
        <v>3122.2</v>
      </c>
      <c r="L6" s="87">
        <f>'Historical data'!I20</f>
        <v>3439.2</v>
      </c>
      <c r="M6" s="87">
        <f>'Historical data'!J20</f>
        <v>3786.37</v>
      </c>
      <c r="N6" s="87">
        <f>'Historical data'!K20</f>
        <v>4116.8599999999997</v>
      </c>
      <c r="O6" s="87">
        <f>'Historical data'!L20</f>
        <v>4811.09</v>
      </c>
    </row>
    <row r="7" spans="1:15" ht="14.25" customHeight="1" x14ac:dyDescent="0.3">
      <c r="B7" t="s">
        <v>177</v>
      </c>
      <c r="C7" s="23">
        <f>C6+(C9*C8)</f>
        <v>9.5560000000000006E-2</v>
      </c>
      <c r="E7" t="s">
        <v>178</v>
      </c>
    </row>
    <row r="8" spans="1:15" ht="14.25" customHeight="1" x14ac:dyDescent="0.3">
      <c r="B8" t="s">
        <v>179</v>
      </c>
      <c r="C8" s="89">
        <v>4.1200000000000001E-2</v>
      </c>
      <c r="E8" t="s">
        <v>180</v>
      </c>
      <c r="F8" s="90">
        <f>'Historical data'!C77</f>
        <v>-810</v>
      </c>
      <c r="G8" s="90">
        <f>'Historical data'!D77</f>
        <v>-1113</v>
      </c>
      <c r="H8" s="90">
        <f>'Historical data'!E77</f>
        <v>-895</v>
      </c>
      <c r="I8" s="90">
        <f>'Historical data'!F77</f>
        <v>-767</v>
      </c>
      <c r="J8" s="90">
        <f>'Historical data'!G77</f>
        <v>-862</v>
      </c>
      <c r="K8" s="90">
        <f>'Historical data'!H77</f>
        <v>-4163</v>
      </c>
      <c r="L8" s="90">
        <f>'Historical data'!I77</f>
        <v>-1228</v>
      </c>
      <c r="M8" s="90">
        <f>'Historical data'!J77</f>
        <v>-1192</v>
      </c>
      <c r="N8" s="90">
        <f>'Historical data'!K77</f>
        <v>-1477</v>
      </c>
      <c r="O8" s="90">
        <f>'Historical data'!L77</f>
        <v>-1275</v>
      </c>
    </row>
    <row r="9" spans="1:15" ht="14.25" customHeight="1" x14ac:dyDescent="0.3">
      <c r="B9" t="s">
        <v>181</v>
      </c>
      <c r="C9" s="91">
        <v>0.8</v>
      </c>
      <c r="E9" t="s">
        <v>182</v>
      </c>
      <c r="F9" s="92">
        <f>SUM('Historical data'!C53:C54)-'Historical data'!C41</f>
        <v>-253.31999999999971</v>
      </c>
      <c r="G9" s="92">
        <f>SUM('Historical data'!D53:D54)-'Historical data'!D41</f>
        <v>-1773.9899999999998</v>
      </c>
      <c r="H9" s="92">
        <f>SUM('Historical data'!E53:E54)-'Historical data'!E41</f>
        <v>-1018.3199999999997</v>
      </c>
      <c r="I9" s="92">
        <f>SUM('Historical data'!F53:F54)-'Historical data'!F41</f>
        <v>-1027.75</v>
      </c>
      <c r="J9" s="92">
        <f>SUM('Historical data'!G53:G54)-'Historical data'!G41</f>
        <v>-449.30000000000018</v>
      </c>
      <c r="K9" s="92">
        <f>SUM('Historical data'!H53:H54)-'Historical data'!H41</f>
        <v>1409.2600000000002</v>
      </c>
      <c r="L9" s="92">
        <f>SUM('Historical data'!I53:I54)-'Historical data'!I41</f>
        <v>1827.0299999999988</v>
      </c>
      <c r="M9" s="92">
        <f>SUM('Historical data'!J53:J54)-'Historical data'!J41</f>
        <v>2247.3199999999997</v>
      </c>
      <c r="N9" s="92">
        <f>SUM('Historical data'!K53:K54)-'Historical data'!K41</f>
        <v>-204.40000000000146</v>
      </c>
      <c r="O9" s="92">
        <f>SUM('Historical data'!L53:L54)-'Historical data'!L41</f>
        <v>-1783.3999999999996</v>
      </c>
    </row>
    <row r="10" spans="1:15" ht="14.25" customHeight="1" x14ac:dyDescent="0.3">
      <c r="B10" t="s">
        <v>174</v>
      </c>
      <c r="C10" s="23">
        <f>'Historical data'!L30/'Historical data'!L27</f>
        <v>0.47400722359750136</v>
      </c>
    </row>
    <row r="11" spans="1:15" ht="14.25" customHeight="1" x14ac:dyDescent="0.3">
      <c r="B11" t="s">
        <v>183</v>
      </c>
      <c r="C11" s="84">
        <f>'Historical data'!L25/('Historical data'!L38*(1-'DCF Modelling'!C10))</f>
        <v>0.13125647348974553</v>
      </c>
      <c r="E11" s="93" t="s">
        <v>184</v>
      </c>
      <c r="F11" s="93">
        <f t="shared" ref="F11:O11" si="1">F4*(1-F5)+F6+F7+F8+F9</f>
        <v>2742.5442696955406</v>
      </c>
      <c r="G11" s="93">
        <f t="shared" si="1"/>
        <v>858.83625815152118</v>
      </c>
      <c r="H11" s="93">
        <f t="shared" si="1"/>
        <v>2604.2317047565266</v>
      </c>
      <c r="I11" s="93">
        <f t="shared" si="1"/>
        <v>3032.9941266907872</v>
      </c>
      <c r="J11" s="93">
        <f t="shared" si="1"/>
        <v>3630.1647945457762</v>
      </c>
      <c r="K11" s="93">
        <f t="shared" si="1"/>
        <v>2424.4027051966841</v>
      </c>
      <c r="L11" s="93">
        <f t="shared" si="1"/>
        <v>6293.9815811687004</v>
      </c>
      <c r="M11" s="93">
        <f t="shared" si="1"/>
        <v>8496.7664638710885</v>
      </c>
      <c r="N11" s="93">
        <f t="shared" si="1"/>
        <v>6818.4157877123889</v>
      </c>
      <c r="O11" s="93">
        <f t="shared" si="1"/>
        <v>6202.6835670648925</v>
      </c>
    </row>
    <row r="13" spans="1:15" ht="14.25" customHeight="1" x14ac:dyDescent="0.3">
      <c r="B13" t="s">
        <v>185</v>
      </c>
      <c r="C13" s="26">
        <f>C6+(C7-C6)*C9</f>
        <v>8.8968000000000005E-2</v>
      </c>
      <c r="E13" t="s">
        <v>186</v>
      </c>
      <c r="F13" s="23">
        <v>0.04</v>
      </c>
    </row>
    <row r="14" spans="1:15" ht="14.25" customHeight="1" x14ac:dyDescent="0.3">
      <c r="B14" t="s">
        <v>187</v>
      </c>
      <c r="C14">
        <f>C4/SUM(C4:C5)</f>
        <v>0.61328657906895445</v>
      </c>
      <c r="E14" t="s">
        <v>188</v>
      </c>
      <c r="F14" s="23">
        <f>C17</f>
        <v>8.1261558284851487E-2</v>
      </c>
    </row>
    <row r="15" spans="1:15" ht="14.25" customHeight="1" x14ac:dyDescent="0.3">
      <c r="B15" t="s">
        <v>189</v>
      </c>
      <c r="C15">
        <f>C5/SUM(C4:C5)</f>
        <v>0.38671342093104549</v>
      </c>
      <c r="E15" s="94" t="s">
        <v>190</v>
      </c>
      <c r="F15" s="94">
        <f>(O11*(1+F13))/(F14-F13)</f>
        <v>156339.00361237186</v>
      </c>
    </row>
    <row r="17" spans="2:15" ht="14.25" customHeight="1" x14ac:dyDescent="0.3">
      <c r="B17" s="44" t="s">
        <v>188</v>
      </c>
      <c r="C17" s="95">
        <f>(C14*C13) + (C15*C11*(1-C10))</f>
        <v>8.1261558284851487E-2</v>
      </c>
      <c r="E17" t="s">
        <v>191</v>
      </c>
      <c r="F17">
        <f t="shared" ref="F17:O17" si="2">1/(1+$F$14)^F3</f>
        <v>0.92484560496744894</v>
      </c>
      <c r="G17">
        <f t="shared" si="2"/>
        <v>0.85533939302760664</v>
      </c>
      <c r="H17">
        <f t="shared" si="2"/>
        <v>0.79105687839710737</v>
      </c>
      <c r="I17">
        <f t="shared" si="2"/>
        <v>0.73160547726483438</v>
      </c>
      <c r="J17">
        <f t="shared" si="2"/>
        <v>0.67662211021849494</v>
      </c>
      <c r="K17">
        <f t="shared" si="2"/>
        <v>0.62577098485937588</v>
      </c>
      <c r="L17">
        <f t="shared" si="2"/>
        <v>0.57874154506334585</v>
      </c>
      <c r="M17">
        <f t="shared" si="2"/>
        <v>0.5352465743639061</v>
      </c>
      <c r="N17">
        <f t="shared" si="2"/>
        <v>0.49502044187434135</v>
      </c>
      <c r="O17">
        <f t="shared" si="2"/>
        <v>0.45781748003652911</v>
      </c>
    </row>
    <row r="18" spans="2:15" ht="14.25" customHeight="1" x14ac:dyDescent="0.3">
      <c r="E18" t="s">
        <v>192</v>
      </c>
      <c r="F18">
        <f t="shared" ref="F18:O18" si="3">F11*F17</f>
        <v>2536.4300142565826</v>
      </c>
      <c r="G18">
        <f t="shared" si="3"/>
        <v>734.59648375742302</v>
      </c>
      <c r="H18">
        <f t="shared" si="3"/>
        <v>2060.0954029874752</v>
      </c>
      <c r="I18">
        <f t="shared" si="3"/>
        <v>2218.955115599053</v>
      </c>
      <c r="J18">
        <f t="shared" si="3"/>
        <v>2456.2497637264523</v>
      </c>
      <c r="K18">
        <f t="shared" si="3"/>
        <v>1517.120868526664</v>
      </c>
      <c r="L18">
        <f t="shared" si="3"/>
        <v>3642.5886248858142</v>
      </c>
      <c r="M18">
        <f t="shared" si="3"/>
        <v>4547.86514295712</v>
      </c>
      <c r="N18">
        <f t="shared" si="3"/>
        <v>3375.2551961163722</v>
      </c>
      <c r="O18">
        <f t="shared" si="3"/>
        <v>2839.6969601376386</v>
      </c>
    </row>
    <row r="19" spans="2:15" ht="14.25" customHeight="1" x14ac:dyDescent="0.3">
      <c r="E19" t="s">
        <v>193</v>
      </c>
      <c r="F19">
        <f>F15*O17</f>
        <v>71574.728665237912</v>
      </c>
    </row>
    <row r="21" spans="2:15" ht="14.25" customHeight="1" x14ac:dyDescent="0.3">
      <c r="E21" s="94" t="s">
        <v>194</v>
      </c>
      <c r="F21" s="94">
        <f>SUM(F18:O19)</f>
        <v>97503.582238188508</v>
      </c>
    </row>
    <row r="23" spans="2:15" ht="14.25" customHeight="1" x14ac:dyDescent="0.3">
      <c r="E23" s="94" t="s">
        <v>195</v>
      </c>
      <c r="F23" s="94">
        <f>F21-('Historical data'!L38-'Historical data'!L55)</f>
        <v>35006.312238188504</v>
      </c>
    </row>
    <row r="25" spans="2:15" ht="14.25" customHeight="1" x14ac:dyDescent="0.3">
      <c r="E25" s="94" t="s">
        <v>196</v>
      </c>
      <c r="F25" s="96">
        <f>Data!J93</f>
        <v>319.52999999999997</v>
      </c>
    </row>
    <row r="27" spans="2:15" ht="14.25" customHeight="1" x14ac:dyDescent="0.3">
      <c r="E27" s="94" t="s">
        <v>197</v>
      </c>
      <c r="F27" s="94">
        <f>F23/F25</f>
        <v>109.55563558410324</v>
      </c>
    </row>
    <row r="30" spans="2:15" ht="14.25" customHeight="1" x14ac:dyDescent="0.3">
      <c r="B30" s="2" t="s">
        <v>198</v>
      </c>
      <c r="C30" s="2"/>
      <c r="D30" s="2"/>
      <c r="E30" s="2"/>
      <c r="F30" s="2"/>
      <c r="G30" s="2"/>
      <c r="I30" s="98" t="s">
        <v>199</v>
      </c>
      <c r="J30" s="99">
        <f>SUM('Historical data'!L38-'Historical data'!L55)</f>
        <v>62497.270000000004</v>
      </c>
    </row>
    <row r="31" spans="2:15" ht="14.25" customHeight="1" x14ac:dyDescent="0.3">
      <c r="I31" s="98" t="s">
        <v>200</v>
      </c>
      <c r="J31" s="100">
        <f>$F$25</f>
        <v>319.52999999999997</v>
      </c>
    </row>
    <row r="32" spans="2:15" ht="14.25" customHeight="1" x14ac:dyDescent="0.3">
      <c r="B32" s="97" t="s">
        <v>201</v>
      </c>
      <c r="C32" s="101">
        <v>0.02</v>
      </c>
      <c r="D32" s="101">
        <v>0.03</v>
      </c>
      <c r="E32" s="101">
        <v>0.04</v>
      </c>
      <c r="F32" s="101">
        <v>0.05</v>
      </c>
      <c r="G32" s="101">
        <v>0.06</v>
      </c>
    </row>
    <row r="33" spans="2:7" ht="14.25" customHeight="1" x14ac:dyDescent="0.3">
      <c r="B33" s="102">
        <f>$C$17-0.01</f>
        <v>7.1261558284851492E-2</v>
      </c>
      <c r="C33" s="103">
        <f t="shared" ref="C33:G37" si="4">((SUMPRODUCT($F$11:$O$11,1/(1+$B33)^$F$3:$O$3))+(($O$11*(1+C$32))/($B33-C$32))/(1+$B33)^$O$3-$J$30)/$J$31</f>
        <v>84.460142854026984</v>
      </c>
      <c r="D33" s="103">
        <f t="shared" si="4"/>
        <v>133.85376445852035</v>
      </c>
      <c r="E33" s="103">
        <f t="shared" si="4"/>
        <v>214.84761606717714</v>
      </c>
      <c r="F33" s="103">
        <f t="shared" si="4"/>
        <v>372.02953491299741</v>
      </c>
      <c r="G33" s="103">
        <f t="shared" si="4"/>
        <v>808.3591789137879</v>
      </c>
    </row>
    <row r="34" spans="2:7" ht="14.25" customHeight="1" x14ac:dyDescent="0.3">
      <c r="B34" s="102">
        <f>$C$17-0.005</f>
        <v>7.6261558284851483E-2</v>
      </c>
      <c r="C34" s="103">
        <f t="shared" si="4"/>
        <v>56.69673809640485</v>
      </c>
      <c r="D34" s="103">
        <f t="shared" si="4"/>
        <v>95.189184682572758</v>
      </c>
      <c r="E34" s="103">
        <f t="shared" si="4"/>
        <v>154.91207386792061</v>
      </c>
      <c r="F34" s="103">
        <f t="shared" si="4"/>
        <v>260.11808978744853</v>
      </c>
      <c r="G34" s="103">
        <f t="shared" si="4"/>
        <v>494.71639896282392</v>
      </c>
    </row>
    <row r="35" spans="2:7" ht="14.25" customHeight="1" x14ac:dyDescent="0.3">
      <c r="B35" s="102">
        <f>$C$17</f>
        <v>8.1261558284851487E-2</v>
      </c>
      <c r="C35" s="103">
        <f t="shared" si="4"/>
        <v>33.52520489440203</v>
      </c>
      <c r="D35" s="103">
        <f t="shared" si="4"/>
        <v>64.124489741469716</v>
      </c>
      <c r="E35" s="103">
        <f t="shared" si="4"/>
        <v>109.55563558410324</v>
      </c>
      <c r="F35" s="103">
        <f t="shared" si="4"/>
        <v>184.05196456870971</v>
      </c>
      <c r="G35" s="103">
        <f t="shared" si="4"/>
        <v>328.62436980938605</v>
      </c>
    </row>
    <row r="36" spans="2:7" ht="14.25" customHeight="1" x14ac:dyDescent="0.3">
      <c r="B36" s="102">
        <f>$C$17+0.005</f>
        <v>8.6261558284851492E-2</v>
      </c>
      <c r="C36" s="103">
        <f t="shared" si="4"/>
        <v>13.904950419260206</v>
      </c>
      <c r="D36" s="103">
        <f t="shared" si="4"/>
        <v>38.632716843957283</v>
      </c>
      <c r="E36" s="103">
        <f t="shared" si="4"/>
        <v>74.050899822475571</v>
      </c>
      <c r="F36" s="103">
        <f t="shared" si="4"/>
        <v>129.0039206037666</v>
      </c>
      <c r="G36" s="103">
        <f t="shared" si="4"/>
        <v>225.80748215284572</v>
      </c>
    </row>
    <row r="37" spans="2:7" ht="14.25" customHeight="1" x14ac:dyDescent="0.3">
      <c r="B37" s="102">
        <f>$C$17+0.01</f>
        <v>9.1261558284851482E-2</v>
      </c>
      <c r="C37" s="103">
        <f t="shared" si="4"/>
        <v>-2.9125663505392336</v>
      </c>
      <c r="D37" s="103">
        <f t="shared" si="4"/>
        <v>17.348622396670461</v>
      </c>
      <c r="E37" s="103">
        <f t="shared" si="4"/>
        <v>45.514833708594914</v>
      </c>
      <c r="F37" s="103">
        <f t="shared" si="4"/>
        <v>87.333564451548924</v>
      </c>
      <c r="G37" s="103">
        <f t="shared" si="4"/>
        <v>155.90638746457248</v>
      </c>
    </row>
    <row r="39" spans="2:7" ht="14.25" customHeight="1" x14ac:dyDescent="0.3">
      <c r="B39" s="97" t="s">
        <v>202</v>
      </c>
      <c r="C39" s="104">
        <f>Data!B8</f>
        <v>378.5</v>
      </c>
    </row>
    <row r="40" spans="2:7" ht="14.25" customHeight="1" x14ac:dyDescent="0.3">
      <c r="B40" s="97" t="s">
        <v>203</v>
      </c>
      <c r="C40" s="105" t="str">
        <f>IF(F27&gt;C39,"UNDERVALUED","OVERVALUED")</f>
        <v>OVERVALUED</v>
      </c>
    </row>
  </sheetData>
  <mergeCells count="3">
    <mergeCell ref="B2:C2"/>
    <mergeCell ref="E2:O2"/>
    <mergeCell ref="B30:G30"/>
  </mergeCells>
  <conditionalFormatting sqref="C33:G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Q44"/>
  <sheetViews>
    <sheetView showGridLines="0" topLeftCell="A31" zoomScaleNormal="100" workbookViewId="0">
      <selection activeCell="B2" sqref="B2:L2"/>
    </sheetView>
  </sheetViews>
  <sheetFormatPr defaultColWidth="8.6640625" defaultRowHeight="14.4" x14ac:dyDescent="0.3"/>
  <cols>
    <col min="1" max="1" width="1.88671875" customWidth="1"/>
    <col min="2" max="2" width="18.21875" customWidth="1"/>
  </cols>
  <sheetData>
    <row r="2" spans="2:17" ht="14.25" customHeight="1" x14ac:dyDescent="0.3">
      <c r="B2" s="12" t="str">
        <f>"Common Size Income Statement For " &amp;Data!$B$1</f>
        <v>Common Size Income Statement For TATA POWER COMPANY LTD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06"/>
      <c r="N2" s="106"/>
      <c r="O2" s="106"/>
      <c r="P2" s="106"/>
      <c r="Q2" s="106"/>
    </row>
    <row r="3" spans="2:17" ht="14.25" customHeight="1" x14ac:dyDescent="0.3">
      <c r="B3" s="39" t="s">
        <v>74</v>
      </c>
      <c r="C3" s="40">
        <f>Data!B16</f>
        <v>42825</v>
      </c>
      <c r="D3" s="40">
        <f>Data!C16</f>
        <v>43190</v>
      </c>
      <c r="E3" s="40">
        <f>Data!D16</f>
        <v>43555</v>
      </c>
      <c r="F3" s="40">
        <f>Data!E16</f>
        <v>43921</v>
      </c>
      <c r="G3" s="40">
        <f>Data!F16</f>
        <v>44286</v>
      </c>
      <c r="H3" s="40">
        <f>Data!G16</f>
        <v>44651</v>
      </c>
      <c r="I3" s="40">
        <f>Data!H16</f>
        <v>45016</v>
      </c>
      <c r="J3" s="40">
        <f>Data!I16</f>
        <v>45382</v>
      </c>
      <c r="K3" s="40">
        <f>Data!J16</f>
        <v>45747</v>
      </c>
      <c r="L3" s="40">
        <f>Data!K16</f>
        <v>46112</v>
      </c>
      <c r="M3" s="107"/>
      <c r="N3" s="107"/>
      <c r="O3" s="107"/>
      <c r="P3" s="107"/>
      <c r="Q3" s="107"/>
    </row>
    <row r="4" spans="2:17" ht="14.25" customHeight="1" x14ac:dyDescent="0.3">
      <c r="B4" s="22" t="s">
        <v>18</v>
      </c>
      <c r="C4">
        <f>Data!B17/Data!B$17</f>
        <v>1</v>
      </c>
      <c r="D4">
        <f>Data!C17/Data!C$17</f>
        <v>1</v>
      </c>
      <c r="E4">
        <f>Data!D17/Data!D$17</f>
        <v>1</v>
      </c>
      <c r="F4">
        <f>Data!E17/Data!E$17</f>
        <v>1</v>
      </c>
      <c r="G4">
        <f>Data!F17/Data!F$17</f>
        <v>1</v>
      </c>
      <c r="H4">
        <f>Data!G17/Data!G$17</f>
        <v>1</v>
      </c>
      <c r="I4">
        <f>Data!H17/Data!H$17</f>
        <v>1</v>
      </c>
      <c r="J4">
        <f>Data!I17/Data!I$17</f>
        <v>1</v>
      </c>
      <c r="K4">
        <f>Data!J17/Data!J$17</f>
        <v>1</v>
      </c>
      <c r="L4">
        <f>Data!K17/Data!K$17</f>
        <v>1</v>
      </c>
    </row>
    <row r="5" spans="2:17" ht="14.25" customHeight="1" x14ac:dyDescent="0.3">
      <c r="B5" s="22" t="s">
        <v>204</v>
      </c>
      <c r="C5">
        <f>Data!B18/Data!B$17</f>
        <v>0</v>
      </c>
      <c r="D5">
        <f>Data!C18/Data!C$17</f>
        <v>0</v>
      </c>
      <c r="E5">
        <f>Data!D18/Data!D$17</f>
        <v>0</v>
      </c>
      <c r="F5">
        <f>Data!E18/Data!E$17</f>
        <v>0</v>
      </c>
      <c r="G5">
        <f>Data!F18/Data!F$17</f>
        <v>0</v>
      </c>
      <c r="H5">
        <f>Data!G18/Data!G$17</f>
        <v>0</v>
      </c>
      <c r="I5">
        <f>Data!H18/Data!H$17</f>
        <v>0</v>
      </c>
      <c r="J5">
        <f>Data!I18/Data!I$17</f>
        <v>0</v>
      </c>
      <c r="K5">
        <f>Data!J18/Data!J$17</f>
        <v>0</v>
      </c>
      <c r="L5">
        <f>Data!K18/Data!K$17</f>
        <v>0</v>
      </c>
    </row>
    <row r="6" spans="2:17" ht="14.25" customHeight="1" x14ac:dyDescent="0.3">
      <c r="B6" s="22" t="s">
        <v>205</v>
      </c>
      <c r="C6">
        <f>Data!B19/Data!B$17</f>
        <v>-1.0272734950751406E-3</v>
      </c>
      <c r="D6">
        <f>Data!C19/Data!C$17</f>
        <v>3.1706089394778817E-4</v>
      </c>
      <c r="E6">
        <f>Data!D19/Data!D$17</f>
        <v>-8.1556678377540828E-4</v>
      </c>
      <c r="F6">
        <f>Data!E19/Data!E$17</f>
        <v>5.367861542120724E-4</v>
      </c>
      <c r="G6">
        <f>Data!F19/Data!F$17</f>
        <v>-1.253695726823982E-5</v>
      </c>
      <c r="H6">
        <f>Data!G19/Data!G$17</f>
        <v>4.6529693451019217E-3</v>
      </c>
      <c r="I6">
        <f>Data!H19/Data!H$17</f>
        <v>-7.8988798216192326E-4</v>
      </c>
      <c r="J6">
        <f>Data!I19/Data!I$17</f>
        <v>8.4265137374306127E-4</v>
      </c>
      <c r="K6">
        <f>Data!J19/Data!J$17</f>
        <v>6.7313965677757983E-3</v>
      </c>
      <c r="L6">
        <f>Data!K19/Data!K$17</f>
        <v>1.3472993703686083E-3</v>
      </c>
    </row>
    <row r="7" spans="2:17" ht="14.25" customHeight="1" x14ac:dyDescent="0.3">
      <c r="B7" s="22" t="s">
        <v>206</v>
      </c>
      <c r="C7">
        <f>Data!B20/Data!B$17</f>
        <v>0.64960549290459946</v>
      </c>
      <c r="D7">
        <f>Data!C20/Data!C$17</f>
        <v>0.60938843014619448</v>
      </c>
      <c r="E7">
        <f>Data!D20/Data!D$17</f>
        <v>0.6331401898058503</v>
      </c>
      <c r="F7">
        <f>Data!E20/Data!E$17</f>
        <v>0.58689637727692223</v>
      </c>
      <c r="G7">
        <f>Data!F20/Data!F$17</f>
        <v>0.61270739873119884</v>
      </c>
      <c r="H7">
        <f>Data!G20/Data!G$17</f>
        <v>0.62510688259695579</v>
      </c>
      <c r="I7">
        <f>Data!H20/Data!H$17</f>
        <v>0.66610729121226475</v>
      </c>
      <c r="J7">
        <f>Data!I20/Data!I$17</f>
        <v>0.64419037606857077</v>
      </c>
      <c r="K7">
        <f>Data!J20/Data!J$17</f>
        <v>0.60116979320152775</v>
      </c>
      <c r="L7">
        <f>Data!K20/Data!K$17</f>
        <v>0.57287918884600797</v>
      </c>
    </row>
    <row r="8" spans="2:17" ht="14.25" customHeight="1" x14ac:dyDescent="0.3">
      <c r="B8" s="22" t="s">
        <v>207</v>
      </c>
      <c r="C8">
        <f>Data!B21/Data!B$17</f>
        <v>6.2374060220555694E-2</v>
      </c>
      <c r="D8">
        <f>Data!C21/Data!C$17</f>
        <v>7.6067789183938916E-2</v>
      </c>
      <c r="E8">
        <f>Data!D21/Data!D$17</f>
        <v>6.8809473291777459E-2</v>
      </c>
      <c r="F8">
        <f>Data!E21/Data!E$17</f>
        <v>6.9112246995765098E-2</v>
      </c>
      <c r="G8">
        <f>Data!F21/Data!F$17</f>
        <v>7.7467082078236105E-2</v>
      </c>
      <c r="H8">
        <f>Data!G21/Data!G$17</f>
        <v>9.2090816282916974E-2</v>
      </c>
      <c r="I8">
        <f>Data!H21/Data!H$17</f>
        <v>9.0859981694486641E-2</v>
      </c>
      <c r="J8">
        <f>Data!I21/Data!I$17</f>
        <v>8.5807394436678286E-2</v>
      </c>
      <c r="K8">
        <f>Data!J21/Data!J$17</f>
        <v>9.6309705331114576E-2</v>
      </c>
      <c r="L8">
        <f>Data!K21/Data!K$17</f>
        <v>0.1080118900651128</v>
      </c>
    </row>
    <row r="9" spans="2:17" ht="14.25" customHeight="1" x14ac:dyDescent="0.3">
      <c r="B9" s="22" t="s">
        <v>208</v>
      </c>
      <c r="C9">
        <f>Data!B22/Data!B$17</f>
        <v>4.8678409386249399E-2</v>
      </c>
      <c r="D9">
        <f>Data!C22/Data!C$17</f>
        <v>5.4954737787660107E-2</v>
      </c>
      <c r="E9">
        <f>Data!D22/Data!D$17</f>
        <v>5.0118703954946706E-2</v>
      </c>
      <c r="F9">
        <f>Data!E22/Data!E$17</f>
        <v>5.2890940086222131E-2</v>
      </c>
      <c r="G9">
        <f>Data!F22/Data!F$17</f>
        <v>7.3822496866525117E-2</v>
      </c>
      <c r="H9">
        <f>Data!G22/Data!G$17</f>
        <v>8.7147766226710929E-2</v>
      </c>
      <c r="I9">
        <f>Data!H22/Data!H$17</f>
        <v>6.8979558359529861E-2</v>
      </c>
      <c r="J9">
        <f>Data!I22/Data!I$17</f>
        <v>6.9407100859413262E-2</v>
      </c>
      <c r="K9">
        <f>Data!J22/Data!J$17</f>
        <v>7.1004504702630977E-2</v>
      </c>
      <c r="L9">
        <f>Data!K22/Data!K$17</f>
        <v>8.1692538626933597E-2</v>
      </c>
    </row>
    <row r="10" spans="2:17" ht="14.25" customHeight="1" x14ac:dyDescent="0.3">
      <c r="B10" s="22" t="s">
        <v>209</v>
      </c>
      <c r="C10">
        <f>Data!B23/Data!B$17</f>
        <v>1.7467636716364133E-2</v>
      </c>
      <c r="D10">
        <f>Data!C23/Data!C$17</f>
        <v>1.9067617427097415E-2</v>
      </c>
      <c r="E10">
        <f>Data!D23/Data!D$17</f>
        <v>1.5608214701888085E-2</v>
      </c>
      <c r="F10">
        <f>Data!E23/Data!E$17</f>
        <v>1.3780371405223094E-2</v>
      </c>
      <c r="G10">
        <f>Data!F23/Data!F$17</f>
        <v>1.6021008271028224E-2</v>
      </c>
      <c r="H10">
        <f>Data!G23/Data!G$17</f>
        <v>1.7063378898426677E-2</v>
      </c>
      <c r="I10">
        <f>Data!H23/Data!H$17</f>
        <v>1.8443603123115101E-2</v>
      </c>
      <c r="J10">
        <f>Data!I23/Data!I$17</f>
        <v>1.656628515726075E-2</v>
      </c>
      <c r="K10">
        <f>Data!J23/Data!J$17</f>
        <v>1.6114971935714827E-2</v>
      </c>
      <c r="L10">
        <f>Data!K23/Data!K$17</f>
        <v>1.9436126941197934E-2</v>
      </c>
    </row>
    <row r="11" spans="2:17" ht="14.25" customHeight="1" x14ac:dyDescent="0.3">
      <c r="B11" s="22" t="s">
        <v>210</v>
      </c>
      <c r="C11">
        <f>Data!B24/Data!B$17</f>
        <v>2.2451036861139376E-2</v>
      </c>
      <c r="D11">
        <f>Data!C24/Data!C$17</f>
        <v>5.4284848848390868E-2</v>
      </c>
      <c r="E11">
        <f>Data!D24/Data!D$17</f>
        <v>1.6254108789982683E-2</v>
      </c>
      <c r="F11">
        <f>Data!E24/Data!E$17</f>
        <v>4.4297556627678744E-2</v>
      </c>
      <c r="G11">
        <f>Data!F24/Data!F$17</f>
        <v>8.3425806133996822E-3</v>
      </c>
      <c r="H11">
        <f>Data!G24/Data!G$17</f>
        <v>1.9031116411351266E-2</v>
      </c>
      <c r="I11">
        <f>Data!H24/Data!H$17</f>
        <v>1.4593057986088681E-2</v>
      </c>
      <c r="J11">
        <f>Data!I24/Data!I$17</f>
        <v>1.0168937116856444E-2</v>
      </c>
      <c r="K11">
        <f>Data!J24/Data!J$17</f>
        <v>3.1999180185661683E-2</v>
      </c>
      <c r="L11">
        <f>Data!K24/Data!K$17</f>
        <v>6.7443458197598257E-3</v>
      </c>
    </row>
    <row r="12" spans="2:17" ht="14.25" customHeight="1" x14ac:dyDescent="0.3">
      <c r="B12" s="22" t="s">
        <v>21</v>
      </c>
      <c r="C12">
        <f>Data!B25/Data!B$17</f>
        <v>4.7027304668512175E-2</v>
      </c>
      <c r="D12">
        <f>Data!C25/Data!C$17</f>
        <v>0.14431002370691504</v>
      </c>
      <c r="E12">
        <f>Data!D25/Data!D$17</f>
        <v>0.12798642350706432</v>
      </c>
      <c r="F12">
        <f>Data!E25/Data!E$17</f>
        <v>7.8257861222932032E-2</v>
      </c>
      <c r="G12">
        <f>Data!F25/Data!F$17</f>
        <v>5.4274628470329149E-2</v>
      </c>
      <c r="H12">
        <f>Data!G25/Data!G$17</f>
        <v>5.805117612313436E-2</v>
      </c>
      <c r="I12">
        <f>Data!H25/Data!H$17</f>
        <v>0.10052953161257637</v>
      </c>
      <c r="J12">
        <f>Data!I25/Data!I$17</f>
        <v>5.5596275930081741E-2</v>
      </c>
      <c r="K12">
        <f>Data!J25/Data!J$17</f>
        <v>4.1072118004393518E-2</v>
      </c>
      <c r="L12">
        <f>Data!K25/Data!K$17</f>
        <v>5.4984423002345559E-2</v>
      </c>
    </row>
    <row r="13" spans="2:17" ht="14.25" customHeight="1" x14ac:dyDescent="0.3">
      <c r="B13" s="22" t="s">
        <v>22</v>
      </c>
      <c r="C13">
        <f>Data!B26/Data!B$17</f>
        <v>7.088658342392358E-2</v>
      </c>
      <c r="D13">
        <f>Data!C26/Data!C$17</f>
        <v>8.7412309935779337E-2</v>
      </c>
      <c r="E13">
        <f>Data!D26/Data!D$17</f>
        <v>8.0088524302685385E-2</v>
      </c>
      <c r="F13">
        <f>Data!E26/Data!E$17</f>
        <v>9.0387374954395486E-2</v>
      </c>
      <c r="G13">
        <f>Data!F26/Data!F$17</f>
        <v>8.3934623131420028E-2</v>
      </c>
      <c r="H13">
        <f>Data!G26/Data!G$17</f>
        <v>7.2921899855823813E-2</v>
      </c>
      <c r="I13">
        <f>Data!H26/Data!H$17</f>
        <v>6.2407138714709078E-2</v>
      </c>
      <c r="J13">
        <f>Data!I26/Data!I$17</f>
        <v>6.1618190073378036E-2</v>
      </c>
      <c r="K13">
        <f>Data!J26/Data!J$17</f>
        <v>6.2873711938500484E-2</v>
      </c>
      <c r="L13">
        <f>Data!K26/Data!K$17</f>
        <v>7.7065491948480669E-2</v>
      </c>
    </row>
    <row r="14" spans="2:17" ht="14.25" customHeight="1" x14ac:dyDescent="0.3">
      <c r="B14" s="22" t="s">
        <v>23</v>
      </c>
      <c r="C14">
        <f>Data!B27/Data!B$17</f>
        <v>0.12197368454439116</v>
      </c>
      <c r="D14">
        <f>Data!C27/Data!C$17</f>
        <v>0.14014315057188323</v>
      </c>
      <c r="E14">
        <f>Data!D27/Data!D$17</f>
        <v>0.139553282246346</v>
      </c>
      <c r="F14">
        <f>Data!E27/Data!E$17</f>
        <v>0.15423094915392685</v>
      </c>
      <c r="G14">
        <f>Data!F27/Data!F$17</f>
        <v>0.12262948307067388</v>
      </c>
      <c r="H14">
        <f>Data!G27/Data!G$17</f>
        <v>9.013101978784871E-2</v>
      </c>
      <c r="I14">
        <f>Data!H27/Data!H$17</f>
        <v>7.9327217946661407E-2</v>
      </c>
      <c r="J14">
        <f>Data!I27/Data!I$17</f>
        <v>7.5399559634102484E-2</v>
      </c>
      <c r="K14">
        <f>Data!J27/Data!J$17</f>
        <v>7.1816835638832066E-2</v>
      </c>
      <c r="L14">
        <f>Data!K27/Data!K$17</f>
        <v>8.4204849092378992E-2</v>
      </c>
    </row>
    <row r="15" spans="2:17" ht="14.25" customHeight="1" x14ac:dyDescent="0.3">
      <c r="B15" s="22" t="s">
        <v>24</v>
      </c>
      <c r="C15">
        <f>Data!B28/Data!B$17</f>
        <v>5.2563127116214206E-2</v>
      </c>
      <c r="D15">
        <f>Data!C28/Data!C$17</f>
        <v>0.10330820069991845</v>
      </c>
      <c r="E15">
        <f>Data!D28/Data!D$17</f>
        <v>0.12359835962981232</v>
      </c>
      <c r="F15">
        <f>Data!E28/Data!E$17</f>
        <v>6.7198830877010424E-2</v>
      </c>
      <c r="G15">
        <f>Data!F28/Data!F$17</f>
        <v>5.9337418750579067E-2</v>
      </c>
      <c r="H15">
        <f>Data!G28/Data!G$17</f>
        <v>5.9211265408202186E-2</v>
      </c>
      <c r="I15">
        <f>Data!H28/Data!H$17</f>
        <v>9.902179459355881E-2</v>
      </c>
      <c r="J15">
        <f>Data!I28/Data!I$17</f>
        <v>9.328108395756475E-2</v>
      </c>
      <c r="K15">
        <f>Data!J28/Data!J$17</f>
        <v>9.6514811638186981E-2</v>
      </c>
      <c r="L15">
        <f>Data!K28/Data!K$17</f>
        <v>0.10629729103284248</v>
      </c>
    </row>
    <row r="16" spans="2:17" ht="14.25" customHeight="1" x14ac:dyDescent="0.3">
      <c r="B16" s="22" t="s">
        <v>25</v>
      </c>
      <c r="C16">
        <f>Data!B29/Data!B$17</f>
        <v>1.2703538076359695E-2</v>
      </c>
      <c r="D16">
        <f>Data!C29/Data!C$17</f>
        <v>6.0345890708252935E-3</v>
      </c>
      <c r="E16">
        <f>Data!D29/Data!D$17</f>
        <v>3.6397303174653103E-2</v>
      </c>
      <c r="F16">
        <f>Data!E29/Data!E$17</f>
        <v>2.2016812664034678E-2</v>
      </c>
      <c r="G16">
        <f>Data!F29/Data!F$17</f>
        <v>1.5346458814107808E-2</v>
      </c>
      <c r="H16">
        <f>Data!G29/Data!G$17</f>
        <v>8.8649786398297629E-3</v>
      </c>
      <c r="I16">
        <f>Data!H29/Data!H$17</f>
        <v>2.9892170219499217E-2</v>
      </c>
      <c r="J16">
        <f>Data!I29/Data!I$17</f>
        <v>2.3628087728177396E-2</v>
      </c>
      <c r="K16">
        <f>Data!J29/Data!J$17</f>
        <v>2.3584170863480754E-2</v>
      </c>
      <c r="L16">
        <f>Data!K29/Data!K$17</f>
        <v>2.432267010996084E-2</v>
      </c>
    </row>
    <row r="17" spans="2:12" ht="14.25" customHeight="1" x14ac:dyDescent="0.3">
      <c r="B17" s="22" t="s">
        <v>26</v>
      </c>
      <c r="C17">
        <f>Data!B30/Data!B$17</f>
        <v>3.2498308116076825E-2</v>
      </c>
      <c r="D17">
        <f>Data!C30/Data!C$17</f>
        <v>8.972711526374362E-2</v>
      </c>
      <c r="E17">
        <f>Data!D30/Data!D$17</f>
        <v>7.8852289711275295E-2</v>
      </c>
      <c r="F17">
        <f>Data!E30/Data!E$17</f>
        <v>3.4917870688764591E-2</v>
      </c>
      <c r="G17">
        <f>Data!F30/Data!F$17</f>
        <v>3.4472963134312709E-2</v>
      </c>
      <c r="H17">
        <f>Data!G30/Data!G$17</f>
        <v>4.0673426341337179E-2</v>
      </c>
      <c r="I17">
        <f>Data!H30/Data!H$17</f>
        <v>6.0542473218569426E-2</v>
      </c>
      <c r="J17">
        <f>Data!I30/Data!I$17</f>
        <v>6.0151605643062774E-2</v>
      </c>
      <c r="K17">
        <f>Data!J30/Data!J$17</f>
        <v>6.0646101666752196E-2</v>
      </c>
      <c r="L17">
        <f>Data!K30/Data!K$17</f>
        <v>6.0023620587938961E-2</v>
      </c>
    </row>
    <row r="18" spans="2:12" ht="14.25" customHeight="1" x14ac:dyDescent="0.3">
      <c r="B18" s="22" t="s">
        <v>211</v>
      </c>
      <c r="C18">
        <f>Data!B31/Data!B$17</f>
        <v>1.2746673413661721E-2</v>
      </c>
      <c r="D18">
        <f>Data!C31/Data!C$17</f>
        <v>1.3101582063071644E-2</v>
      </c>
      <c r="E18">
        <f>Data!D31/Data!D$17</f>
        <v>1.1768324149143302E-2</v>
      </c>
      <c r="F18">
        <f>Data!E31/Data!E$17</f>
        <v>1.439026206764947E-2</v>
      </c>
      <c r="G18">
        <f>Data!F31/Data!F$17</f>
        <v>1.5145867497815969E-2</v>
      </c>
      <c r="H18">
        <f>Data!G31/Data!G$17</f>
        <v>1.3061339458193695E-2</v>
      </c>
      <c r="I18">
        <f>Data!H31/Data!H$17</f>
        <v>1.1597362902810208E-2</v>
      </c>
      <c r="J18">
        <f>Data!I31/Data!I$17</f>
        <v>1.0400837118321076E-2</v>
      </c>
      <c r="K18">
        <f>Data!J31/Data!J$17</f>
        <v>1.0980899914231049E-2</v>
      </c>
      <c r="L18">
        <f>Data!K31/Data!K$17</f>
        <v>1.2797021364730488E-2</v>
      </c>
    </row>
    <row r="19" spans="2:12" ht="14.25" customHeight="1" x14ac:dyDescent="0.3">
      <c r="B19" s="22" t="s">
        <v>83</v>
      </c>
      <c r="C19">
        <f>Data!B32/Data!B$17</f>
        <v>0</v>
      </c>
      <c r="D19">
        <f>Data!C32/Data!C$17</f>
        <v>0</v>
      </c>
      <c r="E19">
        <f>Data!D32/Data!D$17</f>
        <v>0</v>
      </c>
      <c r="F19">
        <f>Data!E32/Data!E$17</f>
        <v>0</v>
      </c>
      <c r="G19">
        <f>Data!F32/Data!F$17</f>
        <v>0</v>
      </c>
      <c r="H19">
        <f>Data!G32/Data!G$17</f>
        <v>0</v>
      </c>
      <c r="I19">
        <f>Data!H32/Data!H$17</f>
        <v>0</v>
      </c>
      <c r="J19">
        <f>Data!I32/Data!I$17</f>
        <v>0</v>
      </c>
      <c r="K19">
        <f>Data!J32/Data!J$17</f>
        <v>0</v>
      </c>
      <c r="L19">
        <f>Data!K32/Data!K$17</f>
        <v>0</v>
      </c>
    </row>
    <row r="20" spans="2:12" ht="14.25" customHeight="1" x14ac:dyDescent="0.3">
      <c r="B20" s="22" t="s">
        <v>212</v>
      </c>
      <c r="C20">
        <f>Data!B33/Data!B$17</f>
        <v>0</v>
      </c>
      <c r="D20">
        <f>Data!C33/Data!C$17</f>
        <v>0</v>
      </c>
      <c r="E20">
        <f>Data!D33/Data!D$17</f>
        <v>0</v>
      </c>
      <c r="F20">
        <f>Data!E33/Data!E$17</f>
        <v>0</v>
      </c>
      <c r="G20">
        <f>Data!F33/Data!F$17</f>
        <v>0</v>
      </c>
      <c r="H20">
        <f>Data!G33/Data!G$17</f>
        <v>0</v>
      </c>
      <c r="I20">
        <f>Data!H33/Data!H$17</f>
        <v>0</v>
      </c>
      <c r="J20">
        <f>Data!I33/Data!I$17</f>
        <v>0</v>
      </c>
      <c r="K20">
        <f>Data!J33/Data!J$17</f>
        <v>0</v>
      </c>
      <c r="L20">
        <f>Data!K33/Data!K$17</f>
        <v>0</v>
      </c>
    </row>
    <row r="22" spans="2:12" ht="14.25" customHeight="1" x14ac:dyDescent="0.3">
      <c r="B22" s="12" t="str">
        <f>"Common Size Balance Sheet For " &amp;Data!$B$1</f>
        <v>Common Size Balance Sheet For TATA POWER COMPANY LTD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2:12" ht="14.25" customHeight="1" x14ac:dyDescent="0.3">
      <c r="B23" s="39" t="s">
        <v>74</v>
      </c>
      <c r="C23" s="40">
        <v>42460</v>
      </c>
      <c r="D23" s="40">
        <v>42825</v>
      </c>
      <c r="E23" s="40">
        <v>43190</v>
      </c>
      <c r="F23" s="40">
        <v>43555</v>
      </c>
      <c r="G23" s="40">
        <v>43921</v>
      </c>
      <c r="H23" s="40">
        <v>44286</v>
      </c>
      <c r="I23" s="40">
        <v>44651</v>
      </c>
      <c r="J23" s="40">
        <v>45016</v>
      </c>
      <c r="K23" s="40">
        <v>45382</v>
      </c>
      <c r="L23" s="40">
        <v>45747</v>
      </c>
    </row>
    <row r="24" spans="2:12" ht="14.25" customHeight="1" x14ac:dyDescent="0.3"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2:12" ht="14.25" customHeight="1" x14ac:dyDescent="0.3">
      <c r="B25" s="22" t="str">
        <f>Data!A57</f>
        <v>Equity Share Capital</v>
      </c>
      <c r="C25">
        <f>Data!B57/Data!B$61</f>
        <v>3.2657541549930545E-3</v>
      </c>
      <c r="D25">
        <f>Data!C57/Data!C$61</f>
        <v>3.3031390200239825E-3</v>
      </c>
      <c r="E25">
        <f>Data!D57/Data!D$61</f>
        <v>3.2174251463958177E-3</v>
      </c>
      <c r="F25">
        <f>Data!E57/Data!E$61</f>
        <v>3.0164849508625196E-3</v>
      </c>
      <c r="G25">
        <f>Data!F57/Data!F$61</f>
        <v>3.2391720467034361E-3</v>
      </c>
      <c r="H25">
        <f>Data!G57/Data!G$61</f>
        <v>2.8392716871854006E-3</v>
      </c>
      <c r="I25">
        <f>Data!H57/Data!H$61</f>
        <v>2.4946887548680232E-3</v>
      </c>
      <c r="J25">
        <f>Data!I57/Data!I$61</f>
        <v>2.2980934080474979E-3</v>
      </c>
      <c r="K25">
        <f>Data!J57/Data!J$61</f>
        <v>2.0459264257813876E-3</v>
      </c>
      <c r="L25">
        <f>Data!K57/Data!K$61</f>
        <v>1.8306154800089641E-3</v>
      </c>
    </row>
    <row r="26" spans="2:12" ht="14.25" customHeight="1" x14ac:dyDescent="0.3">
      <c r="B26" s="22" t="str">
        <f>Data!A58</f>
        <v>Reserves</v>
      </c>
      <c r="C26">
        <f>Data!B58/Data!B$61</f>
        <v>0.1562738819591048</v>
      </c>
      <c r="D26">
        <f>Data!C58/Data!C$61</f>
        <v>0.19695964675339897</v>
      </c>
      <c r="E26">
        <f>Data!D58/Data!D$61</f>
        <v>0.21451495264140491</v>
      </c>
      <c r="F26">
        <f>Data!E58/Data!E$61</f>
        <v>0.21517429093924867</v>
      </c>
      <c r="G26">
        <f>Data!F58/Data!F$61</f>
        <v>0.22302707094755819</v>
      </c>
      <c r="H26">
        <f>Data!G58/Data!G$61</f>
        <v>0.19655266073324396</v>
      </c>
      <c r="I26">
        <f>Data!H58/Data!H$61</f>
        <v>0.22223831256742005</v>
      </c>
      <c r="J26">
        <f>Data!I58/Data!I$61</f>
        <v>0.23038271352794304</v>
      </c>
      <c r="K26">
        <f>Data!J58/Data!J$61</f>
        <v>0.2274176293093238</v>
      </c>
      <c r="L26">
        <f>Data!K58/Data!K$61</f>
        <v>0.22425927555380187</v>
      </c>
    </row>
    <row r="27" spans="2:12" ht="14.25" customHeight="1" x14ac:dyDescent="0.3">
      <c r="B27" s="22" t="str">
        <f>Data!A59</f>
        <v>Borrowings</v>
      </c>
      <c r="C27">
        <f>Data!B59/Data!B$61</f>
        <v>0.58934982637778011</v>
      </c>
      <c r="D27">
        <f>Data!C59/Data!C$61</f>
        <v>0.5933346195834015</v>
      </c>
      <c r="E27">
        <f>Data!D59/Data!D$61</f>
        <v>0.5769484393644414</v>
      </c>
      <c r="F27">
        <f>Data!E59/Data!E$61</f>
        <v>0.57916678329293325</v>
      </c>
      <c r="G27">
        <f>Data!F59/Data!F$61</f>
        <v>0.47344813493184923</v>
      </c>
      <c r="H27">
        <f>Data!G59/Data!G$61</f>
        <v>0.45486561127193348</v>
      </c>
      <c r="I27">
        <f>Data!H59/Data!H$61</f>
        <v>0.41315062264951935</v>
      </c>
      <c r="J27">
        <f>Data!I59/Data!I$61</f>
        <v>0.38610392767147245</v>
      </c>
      <c r="K27">
        <f>Data!J59/Data!J$61</f>
        <v>0.40248717454589927</v>
      </c>
      <c r="L27">
        <f>Data!K59/Data!K$61</f>
        <v>0.43617908226793761</v>
      </c>
    </row>
    <row r="28" spans="2:12" ht="14.25" customHeight="1" x14ac:dyDescent="0.3">
      <c r="B28" s="22" t="str">
        <f>Data!A60</f>
        <v>Other Liabilities</v>
      </c>
      <c r="C28">
        <f>Data!B60/Data!B$61</f>
        <v>0.25111053750812212</v>
      </c>
      <c r="D28">
        <f>Data!C60/Data!C$61</f>
        <v>0.20640259464317551</v>
      </c>
      <c r="E28">
        <f>Data!D60/Data!D$61</f>
        <v>0.20531918284775785</v>
      </c>
      <c r="F28">
        <f>Data!E60/Data!E$61</f>
        <v>0.20264244081695557</v>
      </c>
      <c r="G28">
        <f>Data!F60/Data!F$61</f>
        <v>0.30028562207388915</v>
      </c>
      <c r="H28">
        <f>Data!G60/Data!G$61</f>
        <v>0.34574245630763711</v>
      </c>
      <c r="I28">
        <f>Data!H60/Data!H$61</f>
        <v>0.36211637602819258</v>
      </c>
      <c r="J28">
        <f>Data!I60/Data!I$61</f>
        <v>0.38121526539253708</v>
      </c>
      <c r="K28">
        <f>Data!J60/Data!J$61</f>
        <v>0.36804926971899565</v>
      </c>
      <c r="L28">
        <f>Data!K60/Data!K$61</f>
        <v>0.33773102669825161</v>
      </c>
    </row>
    <row r="29" spans="2:12" ht="15" customHeight="1" x14ac:dyDescent="0.3">
      <c r="B29" s="22"/>
    </row>
    <row r="30" spans="2:12" ht="15" customHeight="1" x14ac:dyDescent="0.3">
      <c r="B30" s="110" t="str">
        <f>Data!A61 &amp; " Liabilities"</f>
        <v>Total Liabilities</v>
      </c>
      <c r="C30" s="111">
        <f>Data!B61/Data!B$61</f>
        <v>1</v>
      </c>
      <c r="D30" s="111">
        <f>Data!C61/Data!C$61</f>
        <v>1</v>
      </c>
      <c r="E30" s="111">
        <f>Data!D61/Data!D$61</f>
        <v>1</v>
      </c>
      <c r="F30" s="111">
        <f>Data!E61/Data!E$61</f>
        <v>1</v>
      </c>
      <c r="G30" s="111">
        <f>Data!F61/Data!F$61</f>
        <v>1</v>
      </c>
      <c r="H30" s="111">
        <f>Data!G61/Data!G$61</f>
        <v>1</v>
      </c>
      <c r="I30" s="111">
        <f>Data!H61/Data!H$61</f>
        <v>1</v>
      </c>
      <c r="J30" s="111">
        <f>Data!I61/Data!I$61</f>
        <v>1</v>
      </c>
      <c r="K30" s="111">
        <f>Data!J61/Data!J$61</f>
        <v>1</v>
      </c>
      <c r="L30" s="111">
        <f>Data!K61/Data!K$61</f>
        <v>1</v>
      </c>
    </row>
    <row r="31" spans="2:12" ht="14.25" customHeight="1" x14ac:dyDescent="0.3">
      <c r="B31" s="22"/>
    </row>
    <row r="32" spans="2:12" ht="14.25" customHeight="1" x14ac:dyDescent="0.3">
      <c r="B32" s="22" t="str">
        <f>Data!A62</f>
        <v>Net Block</v>
      </c>
      <c r="C32">
        <f>Data!B62/Data!B$66</f>
        <v>0.56254021827552247</v>
      </c>
      <c r="D32">
        <f>Data!C62/Data!C$66</f>
        <v>0.54530807724338703</v>
      </c>
      <c r="E32">
        <f>Data!D62/Data!D$66</f>
        <v>0.52697843694750679</v>
      </c>
      <c r="F32">
        <f>Data!E62/Data!E$66</f>
        <v>0.5315521537981337</v>
      </c>
      <c r="G32">
        <f>Data!F62/Data!F$66</f>
        <v>0.52890613374873452</v>
      </c>
      <c r="H32">
        <f>Data!G62/Data!G$66</f>
        <v>0.50990177786777235</v>
      </c>
      <c r="I32">
        <f>Data!H62/Data!H$66</f>
        <v>0.48203372872906242</v>
      </c>
      <c r="J32">
        <f>Data!I62/Data!I$66</f>
        <v>0.48333285390465891</v>
      </c>
      <c r="K32">
        <f>Data!J62/Data!J$66</f>
        <v>0.50177843735934891</v>
      </c>
      <c r="L32">
        <f>Data!K62/Data!K$66</f>
        <v>0.50006055077488953</v>
      </c>
    </row>
    <row r="33" spans="2:12" ht="14.25" customHeight="1" x14ac:dyDescent="0.3">
      <c r="B33" s="22" t="str">
        <f>Data!A63</f>
        <v>Capital Work in Progress</v>
      </c>
      <c r="C33">
        <f>Data!B63/Data!B$66</f>
        <v>2.629408979387236E-2</v>
      </c>
      <c r="D33">
        <f>Data!C63/Data!C$66</f>
        <v>2.0180286670948736E-2</v>
      </c>
      <c r="E33">
        <f>Data!D63/Data!D$66</f>
        <v>3.063631034961814E-2</v>
      </c>
      <c r="F33">
        <f>Data!E63/Data!E$66</f>
        <v>1.7970890306890822E-2</v>
      </c>
      <c r="G33">
        <f>Data!F63/Data!F$66</f>
        <v>3.3148500367544062E-2</v>
      </c>
      <c r="H33">
        <f>Data!G63/Data!G$66</f>
        <v>4.1182589176596104E-2</v>
      </c>
      <c r="I33">
        <f>Data!H63/Data!H$66</f>
        <v>4.1971288127807753E-2</v>
      </c>
      <c r="J33">
        <f>Data!I63/Data!I$66</f>
        <v>8.3142352920871257E-2</v>
      </c>
      <c r="K33">
        <f>Data!J63/Data!J$66</f>
        <v>8.1174224502587516E-2</v>
      </c>
      <c r="L33">
        <f>Data!K63/Data!K$66</f>
        <v>8.3608933880157818E-2</v>
      </c>
    </row>
    <row r="34" spans="2:12" ht="14.25" customHeight="1" x14ac:dyDescent="0.3">
      <c r="B34" s="22" t="str">
        <f>Data!A64</f>
        <v>Investments</v>
      </c>
      <c r="C34">
        <f>Data!B64/Data!B$66</f>
        <v>0.14334318572929422</v>
      </c>
      <c r="D34">
        <f>Data!C64/Data!C$66</f>
        <v>0.15177258284712267</v>
      </c>
      <c r="E34">
        <f>Data!D64/Data!D$66</f>
        <v>0.16107191522078793</v>
      </c>
      <c r="F34">
        <f>Data!E64/Data!E$66</f>
        <v>0.16208549398593192</v>
      </c>
      <c r="G34">
        <f>Data!F64/Data!F$66</f>
        <v>0.13328337464233889</v>
      </c>
      <c r="H34">
        <f>Data!G64/Data!G$66</f>
        <v>0.12581369398611231</v>
      </c>
      <c r="I34">
        <f>Data!H64/Data!H$66</f>
        <v>0.13013421013310783</v>
      </c>
      <c r="J34">
        <f>Data!I64/Data!I$66</f>
        <v>0.11733530186747057</v>
      </c>
      <c r="K34">
        <f>Data!J64/Data!J$66</f>
        <v>0.10446280346212033</v>
      </c>
      <c r="L34">
        <f>Data!K64/Data!K$66</f>
        <v>9.4948083295868624E-2</v>
      </c>
    </row>
    <row r="35" spans="2:12" ht="14.25" customHeight="1" x14ac:dyDescent="0.3">
      <c r="B35" s="22" t="str">
        <f>Data!A65</f>
        <v>Other Assets</v>
      </c>
      <c r="C35" s="22">
        <f>Data!B74/Data!B$66</f>
        <v>0</v>
      </c>
      <c r="D35" s="22">
        <f>Data!C74/Data!C$66</f>
        <v>0</v>
      </c>
      <c r="E35" s="22">
        <f>Data!D74/Data!D$66</f>
        <v>0</v>
      </c>
      <c r="F35" s="22">
        <f>Data!E74/Data!E$66</f>
        <v>0</v>
      </c>
      <c r="G35" s="22">
        <f>Data!F74/Data!F$66</f>
        <v>0</v>
      </c>
      <c r="H35" s="22">
        <f>Data!G74/Data!G$66</f>
        <v>0</v>
      </c>
      <c r="I35" s="22">
        <f>Data!H74/Data!H$66</f>
        <v>0</v>
      </c>
      <c r="J35" s="22">
        <f>Data!I74/Data!I$66</f>
        <v>0</v>
      </c>
      <c r="K35" s="22">
        <f>Data!J74/Data!J$66</f>
        <v>0</v>
      </c>
      <c r="L35" s="22">
        <f>Data!K74/Data!K$66</f>
        <v>0</v>
      </c>
    </row>
    <row r="36" spans="2:12" ht="14.25" customHeight="1" x14ac:dyDescent="0.3">
      <c r="B36" s="22" t="str">
        <f>Data!A67</f>
        <v>Receivables</v>
      </c>
      <c r="C36">
        <f>Data!B67/Data!B$66</f>
        <v>4.6265293206772584E-2</v>
      </c>
      <c r="D36">
        <f>Data!C67/Data!C$66</f>
        <v>3.4056279139059099E-2</v>
      </c>
      <c r="E36">
        <f>Data!D67/Data!D$66</f>
        <v>5.2873535328160713E-2</v>
      </c>
      <c r="F36">
        <f>Data!E67/Data!E$66</f>
        <v>4.9355492584186408E-2</v>
      </c>
      <c r="G36">
        <f>Data!F67/Data!F$66</f>
        <v>5.2709831570351744E-2</v>
      </c>
      <c r="H36">
        <f>Data!G67/Data!G$66</f>
        <v>5.3129635995525185E-2</v>
      </c>
      <c r="I36">
        <f>Data!H67/Data!H$66</f>
        <v>5.4272907833132204E-2</v>
      </c>
      <c r="J36">
        <f>Data!I67/Data!I$66</f>
        <v>5.322873637943136E-2</v>
      </c>
      <c r="K36">
        <f>Data!J67/Data!J$66</f>
        <v>3.6555857389529517E-2</v>
      </c>
      <c r="L36">
        <f>Data!K67/Data!K$66</f>
        <v>2.5342876639568336E-2</v>
      </c>
    </row>
    <row r="37" spans="2:12" ht="14.25" customHeight="1" x14ac:dyDescent="0.3">
      <c r="B37" s="22" t="str">
        <f>Data!A68</f>
        <v>Inventory</v>
      </c>
      <c r="C37">
        <f>Data!B68/Data!B$66</f>
        <v>1.9311533146619927E-2</v>
      </c>
      <c r="D37">
        <f>Data!C68/Data!C$66</f>
        <v>1.9819811018929854E-2</v>
      </c>
      <c r="E37">
        <f>Data!D68/Data!D$66</f>
        <v>2.0296778625925143E-2</v>
      </c>
      <c r="F37">
        <f>Data!E68/Data!E$66</f>
        <v>1.9541358238979428E-2</v>
      </c>
      <c r="G37">
        <f>Data!F68/Data!F$66</f>
        <v>1.9113304527177785E-2</v>
      </c>
      <c r="H37">
        <f>Data!G68/Data!G$66</f>
        <v>3.759680476204396E-2</v>
      </c>
      <c r="I37">
        <f>Data!H68/Data!H$66</f>
        <v>3.0780630860539594E-2</v>
      </c>
      <c r="J37">
        <f>Data!I68/Data!I$66</f>
        <v>3.1783460286046325E-2</v>
      </c>
      <c r="K37">
        <f>Data!J68/Data!J$66</f>
        <v>2.927026959543079E-2</v>
      </c>
      <c r="L37">
        <f>Data!K68/Data!K$66</f>
        <v>2.9259371793444067E-2</v>
      </c>
    </row>
    <row r="38" spans="2:12" ht="14.25" customHeight="1" x14ac:dyDescent="0.3">
      <c r="B38" s="22" t="str">
        <f>Data!A69</f>
        <v>Cash &amp; Bank</v>
      </c>
      <c r="C38">
        <f>Data!B69/Data!B$66</f>
        <v>1.152129090613631E-2</v>
      </c>
      <c r="D38">
        <f>Data!C69/Data!C$66</f>
        <v>1.4479838030181286E-2</v>
      </c>
      <c r="E38">
        <f>Data!D69/Data!D$66</f>
        <v>9.3662160130476412E-3</v>
      </c>
      <c r="F38">
        <f>Data!E69/Data!E$66</f>
        <v>2.3353280792596194E-2</v>
      </c>
      <c r="G38">
        <f>Data!F69/Data!F$66</f>
        <v>5.9507166602267056E-2</v>
      </c>
      <c r="H38">
        <f>Data!G69/Data!G$66</f>
        <v>5.9002226477319099E-2</v>
      </c>
      <c r="I38">
        <f>Data!H69/Data!H$66</f>
        <v>8.7485305958477755E-2</v>
      </c>
      <c r="J38">
        <f>Data!I69/Data!I$66</f>
        <v>6.5815321198034724E-2</v>
      </c>
      <c r="K38">
        <f>Data!J69/Data!J$66</f>
        <v>7.5233572758882747E-2</v>
      </c>
      <c r="L38">
        <f>Data!K69/Data!K$66</f>
        <v>7.8160337993623444E-2</v>
      </c>
    </row>
    <row r="39" spans="2:12" ht="15" customHeight="1" x14ac:dyDescent="0.3"/>
    <row r="40" spans="2:12" ht="15" customHeight="1" x14ac:dyDescent="0.3">
      <c r="B40" s="110" t="str">
        <f>Data!A66 &amp; " Assets"</f>
        <v>Total Assets</v>
      </c>
      <c r="C40" s="111">
        <f>Data!B66/Data!B66</f>
        <v>1</v>
      </c>
      <c r="D40" s="111">
        <f>Data!C66/Data!C66</f>
        <v>1</v>
      </c>
      <c r="E40" s="111">
        <f>Data!D66/Data!D66</f>
        <v>1</v>
      </c>
      <c r="F40" s="111">
        <f>Data!E66/Data!E66</f>
        <v>1</v>
      </c>
      <c r="G40" s="111">
        <f>Data!F66/Data!F66</f>
        <v>1</v>
      </c>
      <c r="H40" s="111">
        <f>Data!G66/Data!G66</f>
        <v>1</v>
      </c>
      <c r="I40" s="111">
        <f>Data!H66/Data!H66</f>
        <v>1</v>
      </c>
      <c r="J40" s="111">
        <f>Data!I66/Data!I66</f>
        <v>1</v>
      </c>
      <c r="K40" s="111">
        <f>Data!J66/Data!J66</f>
        <v>1</v>
      </c>
      <c r="L40" s="111">
        <f>Data!K66/Data!K66</f>
        <v>1</v>
      </c>
    </row>
    <row r="42" spans="2:12" ht="14.25" customHeight="1" x14ac:dyDescent="0.3">
      <c r="B42" s="22"/>
    </row>
    <row r="43" spans="2:12" ht="14.25" customHeight="1" x14ac:dyDescent="0.3">
      <c r="B43" s="22"/>
    </row>
    <row r="44" spans="2:12" ht="14.25" customHeight="1" x14ac:dyDescent="0.3">
      <c r="B44" s="22"/>
    </row>
  </sheetData>
  <mergeCells count="2">
    <mergeCell ref="B2:L2"/>
    <mergeCell ref="B22:L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Q22"/>
  <sheetViews>
    <sheetView showGridLines="0" topLeftCell="B1" zoomScale="84" zoomScaleNormal="84" workbookViewId="0">
      <selection activeCell="D5" sqref="D5"/>
    </sheetView>
  </sheetViews>
  <sheetFormatPr defaultColWidth="8.6640625" defaultRowHeight="14.4" x14ac:dyDescent="0.3"/>
  <cols>
    <col min="1" max="1" width="1.88671875" customWidth="1"/>
    <col min="2" max="2" width="24.5546875" customWidth="1"/>
    <col min="4" max="4" width="10.109375" customWidth="1"/>
    <col min="5" max="5" width="16.21875" customWidth="1"/>
    <col min="6" max="6" width="10.5546875" customWidth="1"/>
    <col min="7" max="7" width="8.44140625" customWidth="1"/>
    <col min="15" max="15" width="11.5546875" customWidth="1"/>
    <col min="16" max="16" width="10.5546875" customWidth="1"/>
    <col min="17" max="17" width="12" customWidth="1"/>
  </cols>
  <sheetData>
    <row r="2" spans="2:17" ht="14.25" customHeight="1" x14ac:dyDescent="0.3">
      <c r="B2" s="12" t="str">
        <f>"Comp Analysis for " &amp; Data!B1</f>
        <v>Comp Analysis for TATA POWER COMPANY LTD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2:17" ht="15" customHeight="1" x14ac:dyDescent="0.3">
      <c r="B3" s="112"/>
      <c r="C3" s="113"/>
      <c r="D3" s="12" t="s">
        <v>213</v>
      </c>
      <c r="E3" s="12"/>
      <c r="F3" s="12"/>
      <c r="G3" s="38"/>
      <c r="H3" s="38"/>
      <c r="I3" s="113"/>
      <c r="J3" s="12" t="s">
        <v>214</v>
      </c>
      <c r="K3" s="12"/>
      <c r="L3" s="12"/>
      <c r="M3" s="12"/>
      <c r="N3" s="113"/>
      <c r="O3" s="12" t="s">
        <v>215</v>
      </c>
      <c r="P3" s="12"/>
      <c r="Q3" s="12"/>
    </row>
    <row r="4" spans="2:17" ht="15" customHeight="1" x14ac:dyDescent="0.3">
      <c r="B4" s="112" t="s">
        <v>216</v>
      </c>
      <c r="C4" s="112"/>
      <c r="D4" s="114" t="s">
        <v>217</v>
      </c>
      <c r="E4" s="114" t="s">
        <v>218</v>
      </c>
      <c r="F4" s="114" t="s">
        <v>219</v>
      </c>
      <c r="G4" s="114" t="s">
        <v>220</v>
      </c>
      <c r="H4" s="114" t="s">
        <v>221</v>
      </c>
      <c r="I4" s="112"/>
      <c r="J4" s="114" t="s">
        <v>222</v>
      </c>
      <c r="K4" s="114" t="s">
        <v>83</v>
      </c>
      <c r="L4" s="114" t="s">
        <v>86</v>
      </c>
      <c r="M4" s="114" t="s">
        <v>223</v>
      </c>
      <c r="N4" s="112"/>
      <c r="O4" s="114" t="s">
        <v>224</v>
      </c>
      <c r="P4" s="114" t="s">
        <v>225</v>
      </c>
      <c r="Q4" s="114" t="s">
        <v>226</v>
      </c>
    </row>
    <row r="5" spans="2:17" ht="14.25" customHeight="1" x14ac:dyDescent="0.3">
      <c r="B5" s="22" t="str">
        <f>Data!B1</f>
        <v>TATA POWER COMPANY LTD</v>
      </c>
      <c r="D5" s="115">
        <v>378.5</v>
      </c>
      <c r="E5" s="115">
        <v>319.52999999999997</v>
      </c>
      <c r="F5" s="116">
        <f>D5*E5</f>
        <v>120942.105</v>
      </c>
      <c r="G5" s="116">
        <f>'Historical data'!L38-'Historical data'!L55</f>
        <v>62497.270000000004</v>
      </c>
      <c r="H5" s="116">
        <f>SUM(F5:G5)</f>
        <v>183439.375</v>
      </c>
      <c r="J5" s="22">
        <f>Data!K17</f>
        <v>62428.59</v>
      </c>
      <c r="K5" s="87">
        <f>'Historical data'!L17</f>
        <v>13271.27</v>
      </c>
      <c r="L5" s="87">
        <f>'Historical data'!L22</f>
        <v>8460.18</v>
      </c>
      <c r="M5" s="87">
        <f>'Historical data'!L32</f>
        <v>1684.9600000000003</v>
      </c>
      <c r="O5" s="117">
        <f>H5/J5</f>
        <v>2.9383872837749503</v>
      </c>
      <c r="P5" s="117">
        <f>H5/K5</f>
        <v>13.822292440738527</v>
      </c>
      <c r="Q5" s="117">
        <f>F5/M5</f>
        <v>71.77743388567086</v>
      </c>
    </row>
    <row r="6" spans="2:17" ht="14.25" customHeight="1" x14ac:dyDescent="0.3">
      <c r="B6" t="s">
        <v>227</v>
      </c>
      <c r="D6" s="115">
        <v>347.25</v>
      </c>
      <c r="E6" s="115">
        <v>973</v>
      </c>
      <c r="F6" s="116">
        <f>D6*E6</f>
        <v>337874.25</v>
      </c>
      <c r="G6" s="115">
        <v>237023</v>
      </c>
      <c r="H6" s="116">
        <f>SUM(F6:G6)</f>
        <v>574897.25</v>
      </c>
      <c r="J6" s="118">
        <v>187385</v>
      </c>
      <c r="K6" s="118">
        <v>54654</v>
      </c>
      <c r="L6" s="118">
        <v>41650</v>
      </c>
      <c r="M6" s="118">
        <v>27546</v>
      </c>
      <c r="O6" s="117">
        <f>H6/J6</f>
        <v>3.0680003735624517</v>
      </c>
      <c r="P6" s="117">
        <f>H6/K6</f>
        <v>10.518850404361986</v>
      </c>
      <c r="Q6" s="117">
        <f>F6/M6</f>
        <v>12.265818993683293</v>
      </c>
    </row>
    <row r="7" spans="2:17" ht="14.25" customHeight="1" x14ac:dyDescent="0.3">
      <c r="B7" t="s">
        <v>228</v>
      </c>
      <c r="D7" s="119">
        <v>218.5</v>
      </c>
      <c r="E7" s="115">
        <v>1946</v>
      </c>
      <c r="F7" s="116">
        <f>D7*E7</f>
        <v>425201</v>
      </c>
      <c r="G7" s="115">
        <v>45022</v>
      </c>
      <c r="H7" s="116">
        <f>SUM(F7:G7)</f>
        <v>470223</v>
      </c>
      <c r="J7" s="118">
        <v>54241</v>
      </c>
      <c r="K7" s="118">
        <v>21285</v>
      </c>
      <c r="L7" s="118">
        <v>14500</v>
      </c>
      <c r="M7" s="118">
        <v>12971</v>
      </c>
      <c r="O7" s="117">
        <f>H7/J7</f>
        <v>8.6691432680075966</v>
      </c>
      <c r="P7" s="117">
        <f>H7/K7</f>
        <v>22.091754756871037</v>
      </c>
      <c r="Q7" s="117">
        <f>F7/M7</f>
        <v>32.780895844576364</v>
      </c>
    </row>
    <row r="8" spans="2:17" ht="14.25" customHeight="1" x14ac:dyDescent="0.3">
      <c r="B8" t="s">
        <v>229</v>
      </c>
      <c r="D8" s="119">
        <v>550.20000000000005</v>
      </c>
      <c r="E8" s="115">
        <v>188.6</v>
      </c>
      <c r="F8" s="116">
        <f>D8*E8</f>
        <v>103767.72</v>
      </c>
      <c r="G8" s="115">
        <v>57413</v>
      </c>
      <c r="H8" s="116">
        <f>SUM(F8:G8)</f>
        <v>161180.72</v>
      </c>
      <c r="J8" s="118">
        <v>18901</v>
      </c>
      <c r="K8" s="118">
        <v>11041</v>
      </c>
      <c r="L8" s="118">
        <v>8000</v>
      </c>
      <c r="M8" s="118">
        <v>2762</v>
      </c>
      <c r="O8" s="117">
        <f>H8/J8</f>
        <v>8.52762922596688</v>
      </c>
      <c r="P8" s="117">
        <f>H8/K8</f>
        <v>14.598380581469071</v>
      </c>
      <c r="Q8" s="117">
        <f>F8/M8</f>
        <v>37.5697755249819</v>
      </c>
    </row>
    <row r="10" spans="2:17" ht="14.25" customHeight="1" x14ac:dyDescent="0.3">
      <c r="B10" t="s">
        <v>230</v>
      </c>
      <c r="O10" s="117">
        <f>MAX(O5:O8)</f>
        <v>8.6691432680075966</v>
      </c>
      <c r="P10" s="117">
        <f>MAX(P5:P8)</f>
        <v>22.091754756871037</v>
      </c>
      <c r="Q10" s="117">
        <f>MAX(Q5:Q8)</f>
        <v>71.77743388567086</v>
      </c>
    </row>
    <row r="11" spans="2:17" ht="14.25" customHeight="1" x14ac:dyDescent="0.3">
      <c r="B11" t="s">
        <v>231</v>
      </c>
      <c r="O11" s="117">
        <f>QUARTILE(O5:O8,3)</f>
        <v>8.5630077364770596</v>
      </c>
      <c r="P11" s="117">
        <f>QUARTILE(P5:P8,3)</f>
        <v>16.471724125319561</v>
      </c>
      <c r="Q11" s="117">
        <f>QUARTILE(Q5:Q8,3)</f>
        <v>46.121690115154138</v>
      </c>
    </row>
    <row r="12" spans="2:17" ht="14.25" customHeight="1" x14ac:dyDescent="0.3">
      <c r="B12" t="s">
        <v>232</v>
      </c>
      <c r="O12" s="117">
        <f>MEDIAN(O5:O8)</f>
        <v>5.7978147997646658</v>
      </c>
      <c r="P12" s="117">
        <f>MEDIAN(P5:P8)</f>
        <v>14.210336511103799</v>
      </c>
      <c r="Q12" s="117">
        <f>MEDIAN(Q5:Q8)</f>
        <v>35.175335684779128</v>
      </c>
    </row>
    <row r="13" spans="2:17" ht="14.25" customHeight="1" x14ac:dyDescent="0.3">
      <c r="B13" t="s">
        <v>233</v>
      </c>
      <c r="O13" s="117">
        <f>AVERAGE(O5:O8)</f>
        <v>5.8007900378279693</v>
      </c>
      <c r="P13" s="117">
        <f>AVERAGE(P5:P8)</f>
        <v>15.257819545860155</v>
      </c>
      <c r="Q13" s="117">
        <f>AVERAGE(Q5:Q8)</f>
        <v>38.598481062228103</v>
      </c>
    </row>
    <row r="14" spans="2:17" ht="14.25" customHeight="1" x14ac:dyDescent="0.3">
      <c r="B14" t="s">
        <v>234</v>
      </c>
      <c r="O14" s="117">
        <f>QUARTILE(O5:O8,1)</f>
        <v>3.0355971011155765</v>
      </c>
      <c r="P14" s="117">
        <f>QUARTILE(P5:P8,1)</f>
        <v>12.996431931644391</v>
      </c>
      <c r="Q14" s="117">
        <f>QUARTILE(Q5:Q8,1)</f>
        <v>27.652126631853097</v>
      </c>
    </row>
    <row r="15" spans="2:17" ht="14.25" customHeight="1" x14ac:dyDescent="0.3">
      <c r="B15" t="s">
        <v>235</v>
      </c>
      <c r="O15" s="117">
        <f>MIN(O5:O8)</f>
        <v>2.9383872837749503</v>
      </c>
      <c r="P15" s="117">
        <f>MIN(P5:P8)</f>
        <v>10.518850404361986</v>
      </c>
      <c r="Q15" s="117">
        <f>MIN(Q5:Q8)</f>
        <v>12.265818993683293</v>
      </c>
    </row>
    <row r="16" spans="2:17" ht="15" customHeight="1" x14ac:dyDescent="0.3"/>
    <row r="17" spans="2:17" ht="15" customHeight="1" x14ac:dyDescent="0.3">
      <c r="B17" s="22" t="str">
        <f>B5</f>
        <v>TATA POWER COMPANY LTD</v>
      </c>
      <c r="O17" s="114" t="s">
        <v>224</v>
      </c>
      <c r="P17" s="114" t="s">
        <v>225</v>
      </c>
      <c r="Q17" s="114" t="s">
        <v>226</v>
      </c>
    </row>
    <row r="18" spans="2:17" ht="14.25" customHeight="1" x14ac:dyDescent="0.3">
      <c r="B18" t="s">
        <v>236</v>
      </c>
      <c r="O18">
        <f>$J$5*O12</f>
        <v>361949.40303044039</v>
      </c>
      <c r="P18">
        <f>$K$5*P12</f>
        <v>188589.21262971652</v>
      </c>
    </row>
    <row r="19" spans="2:17" ht="14.25" customHeight="1" x14ac:dyDescent="0.3">
      <c r="B19" t="s">
        <v>237</v>
      </c>
      <c r="O19" s="116">
        <f>$G$5</f>
        <v>62497.270000000004</v>
      </c>
      <c r="P19" s="116">
        <f>$G$5</f>
        <v>62497.270000000004</v>
      </c>
      <c r="Q19" s="116"/>
    </row>
    <row r="20" spans="2:17" ht="14.25" customHeight="1" x14ac:dyDescent="0.3">
      <c r="B20" t="s">
        <v>238</v>
      </c>
      <c r="O20" s="116">
        <f>O18-O19</f>
        <v>299452.13303044037</v>
      </c>
      <c r="P20" s="116">
        <f>P18-P19</f>
        <v>126091.94262971652</v>
      </c>
      <c r="Q20" s="116">
        <f>$M$5*Q12</f>
        <v>59269.033615425447</v>
      </c>
    </row>
    <row r="21" spans="2:17" ht="14.25" customHeight="1" x14ac:dyDescent="0.3">
      <c r="B21" t="s">
        <v>239</v>
      </c>
      <c r="O21" s="116">
        <f>$E$5</f>
        <v>319.52999999999997</v>
      </c>
      <c r="P21" s="116">
        <f>$E$5</f>
        <v>319.52999999999997</v>
      </c>
      <c r="Q21" s="116">
        <f>$E$5</f>
        <v>319.52999999999997</v>
      </c>
    </row>
    <row r="22" spans="2:17" ht="14.25" customHeight="1" x14ac:dyDescent="0.3">
      <c r="B22" s="120" t="s">
        <v>240</v>
      </c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>
        <f>O20/O21</f>
        <v>937.16437589722523</v>
      </c>
      <c r="P22" s="120">
        <f>P20/P21</f>
        <v>394.61691431075809</v>
      </c>
      <c r="Q22" s="120">
        <f>Q20/Q21</f>
        <v>185.48816579171111</v>
      </c>
    </row>
  </sheetData>
  <mergeCells count="4">
    <mergeCell ref="B2:Q2"/>
    <mergeCell ref="D3:F3"/>
    <mergeCell ref="J3:M3"/>
    <mergeCell ref="O3:Q3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93"/>
  <sheetViews>
    <sheetView tabSelected="1" zoomScale="101" zoomScaleNormal="101" workbookViewId="0">
      <pane xSplit="1" ySplit="1" topLeftCell="B2" activePane="bottomRight" state="frozen"/>
      <selection pane="topRight" activeCell="B1" sqref="B1"/>
      <selection pane="bottomLeft" activeCell="A79" sqref="A79"/>
      <selection pane="bottomRight" activeCell="F8" sqref="F8"/>
    </sheetView>
  </sheetViews>
  <sheetFormatPr defaultColWidth="8.77734375" defaultRowHeight="14.4" x14ac:dyDescent="0.3"/>
  <cols>
    <col min="1" max="1" width="27.6640625" style="22" customWidth="1"/>
    <col min="2" max="11" width="13.44140625" style="22" customWidth="1"/>
    <col min="12" max="16384" width="8.77734375" style="22"/>
  </cols>
  <sheetData>
    <row r="1" spans="1:11" s="21" customFormat="1" ht="14.25" customHeight="1" x14ac:dyDescent="0.3">
      <c r="A1" s="21" t="s">
        <v>241</v>
      </c>
      <c r="B1" s="21" t="s">
        <v>242</v>
      </c>
      <c r="E1" s="1" t="str">
        <f>IF(B2&lt;&gt;B3, "A NEW VERSION OF THE WORKSHEET IS AVAILABLE", "")</f>
        <v/>
      </c>
      <c r="F1" s="1"/>
      <c r="G1" s="1"/>
      <c r="H1" s="1"/>
      <c r="I1" s="1"/>
      <c r="J1" s="1"/>
      <c r="K1" s="1"/>
    </row>
    <row r="2" spans="1:11" ht="14.25" customHeight="1" x14ac:dyDescent="0.3">
      <c r="A2" s="21" t="s">
        <v>243</v>
      </c>
      <c r="B2" s="22">
        <v>2.1</v>
      </c>
      <c r="E2" s="125"/>
      <c r="F2" s="125"/>
      <c r="G2" s="125"/>
      <c r="H2" s="125"/>
      <c r="I2" s="125"/>
      <c r="J2" s="125"/>
      <c r="K2" s="125"/>
    </row>
    <row r="3" spans="1:11" ht="14.25" customHeight="1" x14ac:dyDescent="0.3">
      <c r="A3" s="21" t="s">
        <v>244</v>
      </c>
      <c r="B3" s="22">
        <v>2.1</v>
      </c>
    </row>
    <row r="4" spans="1:11" ht="14.25" customHeight="1" x14ac:dyDescent="0.3">
      <c r="A4" s="21"/>
    </row>
    <row r="5" spans="1:11" ht="14.25" customHeight="1" x14ac:dyDescent="0.3">
      <c r="A5" s="21" t="s">
        <v>245</v>
      </c>
    </row>
    <row r="6" spans="1:11" ht="14.25" customHeight="1" x14ac:dyDescent="0.3">
      <c r="A6" s="22" t="s">
        <v>246</v>
      </c>
      <c r="B6" s="22">
        <f>IF(B9&gt;0, B9/B8, 0)</f>
        <v>319.53418758256277</v>
      </c>
    </row>
    <row r="7" spans="1:11" ht="14.25" customHeight="1" x14ac:dyDescent="0.3">
      <c r="A7" s="22" t="s">
        <v>247</v>
      </c>
      <c r="B7" s="22">
        <v>1</v>
      </c>
    </row>
    <row r="8" spans="1:11" ht="14.25" customHeight="1" x14ac:dyDescent="0.3">
      <c r="A8" s="22" t="s">
        <v>248</v>
      </c>
      <c r="B8" s="22">
        <v>378.5</v>
      </c>
    </row>
    <row r="9" spans="1:11" ht="14.25" customHeight="1" x14ac:dyDescent="0.3">
      <c r="A9" s="22" t="s">
        <v>249</v>
      </c>
      <c r="B9" s="22">
        <v>120943.69</v>
      </c>
    </row>
    <row r="15" spans="1:11" ht="14.25" customHeight="1" x14ac:dyDescent="0.3">
      <c r="A15" s="21" t="s">
        <v>250</v>
      </c>
    </row>
    <row r="16" spans="1:11" s="122" customFormat="1" ht="14.25" customHeight="1" x14ac:dyDescent="0.3">
      <c r="A16" s="121" t="s">
        <v>251</v>
      </c>
      <c r="B16" s="19">
        <v>42825</v>
      </c>
      <c r="C16" s="19">
        <v>43190</v>
      </c>
      <c r="D16" s="19">
        <v>43555</v>
      </c>
      <c r="E16" s="19">
        <v>43921</v>
      </c>
      <c r="F16" s="19">
        <v>44286</v>
      </c>
      <c r="G16" s="19">
        <v>44651</v>
      </c>
      <c r="H16" s="19">
        <v>45016</v>
      </c>
      <c r="I16" s="19">
        <v>45382</v>
      </c>
      <c r="J16" s="19">
        <v>45747</v>
      </c>
      <c r="K16" s="19">
        <v>46112</v>
      </c>
    </row>
    <row r="17" spans="1:11" ht="14.25" customHeight="1" x14ac:dyDescent="0.3">
      <c r="A17" s="22" t="s">
        <v>18</v>
      </c>
      <c r="B17" s="22">
        <v>27587.59</v>
      </c>
      <c r="C17" s="22">
        <v>26840.27</v>
      </c>
      <c r="D17" s="22">
        <v>29881.06</v>
      </c>
      <c r="E17" s="22">
        <v>29136.37</v>
      </c>
      <c r="F17" s="22">
        <v>32703.31</v>
      </c>
      <c r="G17" s="22">
        <v>42815.67</v>
      </c>
      <c r="H17" s="22">
        <v>55109.08</v>
      </c>
      <c r="I17" s="22">
        <v>61448.9</v>
      </c>
      <c r="J17" s="22">
        <v>65478.239999999998</v>
      </c>
      <c r="K17" s="22">
        <v>62428.59</v>
      </c>
    </row>
    <row r="18" spans="1:11" ht="14.25" customHeight="1" x14ac:dyDescent="0.3">
      <c r="A18" s="22" t="s">
        <v>204</v>
      </c>
    </row>
    <row r="19" spans="1:11" ht="14.25" customHeight="1" x14ac:dyDescent="0.3">
      <c r="A19" s="22" t="s">
        <v>205</v>
      </c>
      <c r="B19" s="22">
        <v>-28.34</v>
      </c>
      <c r="C19" s="22">
        <v>8.51</v>
      </c>
      <c r="D19" s="22">
        <v>-24.37</v>
      </c>
      <c r="E19" s="22">
        <v>15.64</v>
      </c>
      <c r="F19" s="22">
        <v>-0.41</v>
      </c>
      <c r="G19" s="22">
        <v>199.22</v>
      </c>
      <c r="H19" s="22">
        <v>-43.53</v>
      </c>
      <c r="I19" s="22">
        <v>51.78</v>
      </c>
      <c r="J19" s="22">
        <v>440.76</v>
      </c>
      <c r="K19" s="22">
        <v>84.11</v>
      </c>
    </row>
    <row r="20" spans="1:11" ht="14.25" customHeight="1" x14ac:dyDescent="0.3">
      <c r="A20" s="22" t="s">
        <v>206</v>
      </c>
      <c r="B20" s="22">
        <v>17921.05</v>
      </c>
      <c r="C20" s="22">
        <v>16356.15</v>
      </c>
      <c r="D20" s="22">
        <v>18918.900000000001</v>
      </c>
      <c r="E20" s="22">
        <v>17100.03</v>
      </c>
      <c r="F20" s="22">
        <v>20037.560000000001</v>
      </c>
      <c r="G20" s="22">
        <v>26764.37</v>
      </c>
      <c r="H20" s="22">
        <v>36708.559999999998</v>
      </c>
      <c r="I20" s="22">
        <v>39584.79</v>
      </c>
      <c r="J20" s="22">
        <v>39363.54</v>
      </c>
      <c r="K20" s="22">
        <v>35764.04</v>
      </c>
    </row>
    <row r="21" spans="1:11" ht="14.25" customHeight="1" x14ac:dyDescent="0.3">
      <c r="A21" s="22" t="s">
        <v>207</v>
      </c>
      <c r="B21" s="22">
        <v>1720.75</v>
      </c>
      <c r="C21" s="22">
        <v>2041.68</v>
      </c>
      <c r="D21" s="22">
        <v>2056.1</v>
      </c>
      <c r="E21" s="22">
        <v>2013.68</v>
      </c>
      <c r="F21" s="22">
        <v>2533.4299999999998</v>
      </c>
      <c r="G21" s="22">
        <v>3942.93</v>
      </c>
      <c r="H21" s="22">
        <v>5007.21</v>
      </c>
      <c r="I21" s="22">
        <v>5272.77</v>
      </c>
      <c r="J21" s="22">
        <v>6306.19</v>
      </c>
      <c r="K21" s="22">
        <v>6743.03</v>
      </c>
    </row>
    <row r="22" spans="1:11" ht="14.25" customHeight="1" x14ac:dyDescent="0.3">
      <c r="A22" s="22" t="s">
        <v>208</v>
      </c>
      <c r="B22" s="22">
        <v>1342.92</v>
      </c>
      <c r="C22" s="22">
        <v>1475</v>
      </c>
      <c r="D22" s="22">
        <v>1497.6</v>
      </c>
      <c r="E22" s="22">
        <v>1541.05</v>
      </c>
      <c r="F22" s="22">
        <v>2414.2399999999998</v>
      </c>
      <c r="G22" s="22">
        <v>3731.29</v>
      </c>
      <c r="H22" s="22">
        <v>3801.4</v>
      </c>
      <c r="I22" s="22">
        <v>4264.99</v>
      </c>
      <c r="J22" s="22">
        <v>4649.25</v>
      </c>
      <c r="K22" s="22">
        <v>5099.95</v>
      </c>
    </row>
    <row r="23" spans="1:11" ht="14.25" customHeight="1" x14ac:dyDescent="0.3">
      <c r="A23" s="22" t="s">
        <v>209</v>
      </c>
      <c r="B23" s="22">
        <v>481.89</v>
      </c>
      <c r="C23" s="22">
        <v>511.78</v>
      </c>
      <c r="D23" s="22">
        <v>466.39</v>
      </c>
      <c r="E23" s="22">
        <v>401.51</v>
      </c>
      <c r="F23" s="22">
        <v>523.94000000000005</v>
      </c>
      <c r="G23" s="22">
        <v>730.58</v>
      </c>
      <c r="H23" s="22">
        <v>1016.41</v>
      </c>
      <c r="I23" s="22">
        <v>1017.98</v>
      </c>
      <c r="J23" s="22">
        <v>1055.18</v>
      </c>
      <c r="K23" s="22">
        <v>1213.3699999999999</v>
      </c>
    </row>
    <row r="24" spans="1:11" ht="14.25" customHeight="1" x14ac:dyDescent="0.3">
      <c r="A24" s="22" t="s">
        <v>210</v>
      </c>
      <c r="B24" s="22">
        <v>619.37</v>
      </c>
      <c r="C24" s="22">
        <v>1457.02</v>
      </c>
      <c r="D24" s="22">
        <v>485.69</v>
      </c>
      <c r="E24" s="22">
        <v>1290.67</v>
      </c>
      <c r="F24" s="22">
        <v>272.83</v>
      </c>
      <c r="G24" s="22">
        <v>814.83</v>
      </c>
      <c r="H24" s="22">
        <v>804.21</v>
      </c>
      <c r="I24" s="22">
        <v>624.87</v>
      </c>
      <c r="J24" s="22">
        <v>2095.25</v>
      </c>
      <c r="K24" s="22">
        <v>421.04</v>
      </c>
    </row>
    <row r="25" spans="1:11" ht="14.25" customHeight="1" x14ac:dyDescent="0.3">
      <c r="A25" s="22" t="s">
        <v>21</v>
      </c>
      <c r="B25" s="22">
        <v>1297.3699999999999</v>
      </c>
      <c r="C25" s="22">
        <v>3873.32</v>
      </c>
      <c r="D25" s="22">
        <v>3824.37</v>
      </c>
      <c r="E25" s="22">
        <v>2280.15</v>
      </c>
      <c r="F25" s="22">
        <v>1774.96</v>
      </c>
      <c r="G25" s="22">
        <v>2485.5</v>
      </c>
      <c r="H25" s="22">
        <v>5540.09</v>
      </c>
      <c r="I25" s="22">
        <v>3416.33</v>
      </c>
      <c r="J25" s="22">
        <v>2689.33</v>
      </c>
      <c r="K25" s="22">
        <v>3432.6</v>
      </c>
    </row>
    <row r="26" spans="1:11" ht="14.25" customHeight="1" x14ac:dyDescent="0.3">
      <c r="A26" s="22" t="s">
        <v>22</v>
      </c>
      <c r="B26" s="22">
        <v>1955.59</v>
      </c>
      <c r="C26" s="22">
        <v>2346.17</v>
      </c>
      <c r="D26" s="22">
        <v>2393.13</v>
      </c>
      <c r="E26" s="22">
        <v>2633.56</v>
      </c>
      <c r="F26" s="22">
        <v>2744.94</v>
      </c>
      <c r="G26" s="22">
        <v>3122.2</v>
      </c>
      <c r="H26" s="22">
        <v>3439.2</v>
      </c>
      <c r="I26" s="22">
        <v>3786.37</v>
      </c>
      <c r="J26" s="22">
        <v>4116.8599999999997</v>
      </c>
      <c r="K26" s="22">
        <v>4811.09</v>
      </c>
    </row>
    <row r="27" spans="1:11" ht="14.25" customHeight="1" x14ac:dyDescent="0.3">
      <c r="A27" s="22" t="s">
        <v>23</v>
      </c>
      <c r="B27" s="22">
        <v>3364.96</v>
      </c>
      <c r="C27" s="22">
        <v>3761.48</v>
      </c>
      <c r="D27" s="22">
        <v>4170</v>
      </c>
      <c r="E27" s="22">
        <v>4493.7299999999996</v>
      </c>
      <c r="F27" s="22">
        <v>4010.39</v>
      </c>
      <c r="G27" s="22">
        <v>3859.02</v>
      </c>
      <c r="H27" s="22">
        <v>4371.6499999999996</v>
      </c>
      <c r="I27" s="22">
        <v>4633.22</v>
      </c>
      <c r="J27" s="22">
        <v>4702.4399999999996</v>
      </c>
      <c r="K27" s="22">
        <v>5256.79</v>
      </c>
    </row>
    <row r="28" spans="1:11" ht="14.25" customHeight="1" x14ac:dyDescent="0.3">
      <c r="A28" s="22" t="s">
        <v>24</v>
      </c>
      <c r="B28" s="22">
        <v>1450.09</v>
      </c>
      <c r="C28" s="22">
        <v>2772.82</v>
      </c>
      <c r="D28" s="22">
        <v>3693.25</v>
      </c>
      <c r="E28" s="22">
        <v>1957.93</v>
      </c>
      <c r="F28" s="22">
        <v>1940.53</v>
      </c>
      <c r="G28" s="22">
        <v>2535.17</v>
      </c>
      <c r="H28" s="22">
        <v>5457</v>
      </c>
      <c r="I28" s="22">
        <v>5732.02</v>
      </c>
      <c r="J28" s="22">
        <v>6319.62</v>
      </c>
      <c r="K28" s="22">
        <v>6635.99</v>
      </c>
    </row>
    <row r="29" spans="1:11" ht="14.25" customHeight="1" x14ac:dyDescent="0.3">
      <c r="A29" s="22" t="s">
        <v>25</v>
      </c>
      <c r="B29" s="22">
        <v>350.46</v>
      </c>
      <c r="C29" s="22">
        <v>161.97</v>
      </c>
      <c r="D29" s="22">
        <v>1087.5899999999999</v>
      </c>
      <c r="E29" s="22">
        <v>641.49</v>
      </c>
      <c r="F29" s="22">
        <v>501.88</v>
      </c>
      <c r="G29" s="22">
        <v>379.56</v>
      </c>
      <c r="H29" s="22">
        <v>1647.33</v>
      </c>
      <c r="I29" s="22">
        <v>1451.92</v>
      </c>
      <c r="J29" s="22">
        <v>1544.25</v>
      </c>
      <c r="K29" s="22">
        <v>1518.43</v>
      </c>
    </row>
    <row r="30" spans="1:11" ht="14.25" customHeight="1" x14ac:dyDescent="0.3">
      <c r="A30" s="22" t="s">
        <v>26</v>
      </c>
      <c r="B30" s="22">
        <v>896.55</v>
      </c>
      <c r="C30" s="22">
        <v>2408.3000000000002</v>
      </c>
      <c r="D30" s="22">
        <v>2356.19</v>
      </c>
      <c r="E30" s="22">
        <v>1017.38</v>
      </c>
      <c r="F30" s="22">
        <v>1127.3800000000001</v>
      </c>
      <c r="G30" s="22">
        <v>1741.46</v>
      </c>
      <c r="H30" s="22">
        <v>3336.44</v>
      </c>
      <c r="I30" s="22">
        <v>3696.25</v>
      </c>
      <c r="J30" s="22">
        <v>3971</v>
      </c>
      <c r="K30" s="22">
        <v>3747.19</v>
      </c>
    </row>
    <row r="31" spans="1:11" ht="14.25" customHeight="1" x14ac:dyDescent="0.3">
      <c r="A31" s="22" t="s">
        <v>211</v>
      </c>
      <c r="B31" s="22">
        <v>351.65</v>
      </c>
      <c r="C31" s="22">
        <v>351.65</v>
      </c>
      <c r="D31" s="22">
        <v>351.65</v>
      </c>
      <c r="E31" s="22">
        <v>419.28</v>
      </c>
      <c r="F31" s="22">
        <v>495.32</v>
      </c>
      <c r="G31" s="22">
        <v>559.23</v>
      </c>
      <c r="H31" s="22">
        <v>639.12</v>
      </c>
      <c r="I31" s="22">
        <v>639.12</v>
      </c>
      <c r="J31" s="22">
        <v>719.01</v>
      </c>
      <c r="K31" s="22">
        <v>798.9</v>
      </c>
    </row>
    <row r="40" spans="1:11" ht="14.25" customHeight="1" x14ac:dyDescent="0.3">
      <c r="A40" s="21" t="s">
        <v>252</v>
      </c>
    </row>
    <row r="41" spans="1:11" s="122" customFormat="1" ht="14.25" customHeight="1" x14ac:dyDescent="0.3">
      <c r="A41" s="121" t="s">
        <v>251</v>
      </c>
      <c r="B41" s="19">
        <v>45291</v>
      </c>
      <c r="C41" s="19">
        <v>45382</v>
      </c>
      <c r="D41" s="19">
        <v>45473</v>
      </c>
      <c r="E41" s="19">
        <v>45565</v>
      </c>
      <c r="F41" s="19">
        <v>45657</v>
      </c>
      <c r="G41" s="19">
        <v>45747</v>
      </c>
      <c r="H41" s="19">
        <v>45838</v>
      </c>
      <c r="I41" s="19">
        <v>45930</v>
      </c>
      <c r="J41" s="19">
        <v>46022</v>
      </c>
      <c r="K41" s="19">
        <v>46112</v>
      </c>
    </row>
    <row r="42" spans="1:11" ht="14.25" customHeight="1" x14ac:dyDescent="0.3">
      <c r="A42" s="22" t="s">
        <v>18</v>
      </c>
      <c r="B42" s="22">
        <v>14651</v>
      </c>
      <c r="C42" s="22">
        <v>15846.58</v>
      </c>
      <c r="D42" s="22">
        <v>17293.62</v>
      </c>
      <c r="E42" s="22">
        <v>15697.67</v>
      </c>
      <c r="F42" s="22">
        <v>15391.06</v>
      </c>
      <c r="G42" s="22">
        <v>17095.88</v>
      </c>
      <c r="H42" s="22">
        <v>18035.07</v>
      </c>
      <c r="I42" s="22">
        <v>15544.91</v>
      </c>
      <c r="J42" s="22">
        <v>13948.41</v>
      </c>
      <c r="K42" s="22">
        <v>14900.2</v>
      </c>
    </row>
    <row r="43" spans="1:11" ht="14.25" customHeight="1" x14ac:dyDescent="0.3">
      <c r="A43" s="22" t="s">
        <v>19</v>
      </c>
      <c r="B43" s="22">
        <v>12233.58</v>
      </c>
      <c r="C43" s="22">
        <v>13539.69</v>
      </c>
      <c r="D43" s="22">
        <v>14231.87</v>
      </c>
      <c r="E43" s="22">
        <v>12426.76</v>
      </c>
      <c r="F43" s="22">
        <v>12312.03</v>
      </c>
      <c r="G43" s="22">
        <v>13850.28</v>
      </c>
      <c r="H43" s="22">
        <v>14469.9</v>
      </c>
      <c r="I43" s="22">
        <v>12242.96</v>
      </c>
      <c r="J43" s="22">
        <v>10893.5</v>
      </c>
      <c r="K43" s="22">
        <v>12301.01</v>
      </c>
    </row>
    <row r="44" spans="1:11" ht="14.25" customHeight="1" x14ac:dyDescent="0.3">
      <c r="A44" s="22" t="s">
        <v>21</v>
      </c>
      <c r="B44" s="22">
        <v>1091.8699999999999</v>
      </c>
      <c r="C44" s="22">
        <v>1406.63</v>
      </c>
      <c r="D44" s="22">
        <v>577.72</v>
      </c>
      <c r="E44" s="22">
        <v>631.75</v>
      </c>
      <c r="F44" s="22">
        <v>588.54999999999995</v>
      </c>
      <c r="G44" s="22">
        <v>683.58</v>
      </c>
      <c r="H44" s="22">
        <v>494.42</v>
      </c>
      <c r="I44" s="22">
        <v>858.65</v>
      </c>
      <c r="J44" s="22">
        <v>1056.28</v>
      </c>
      <c r="K44" s="22">
        <v>1773.3</v>
      </c>
    </row>
    <row r="45" spans="1:11" ht="14.25" customHeight="1" x14ac:dyDescent="0.3">
      <c r="A45" s="22" t="s">
        <v>22</v>
      </c>
      <c r="B45" s="22">
        <v>926.27</v>
      </c>
      <c r="C45" s="22">
        <v>1040.77</v>
      </c>
      <c r="D45" s="22">
        <v>972.89</v>
      </c>
      <c r="E45" s="22">
        <v>986.69</v>
      </c>
      <c r="F45" s="22">
        <v>1040.99</v>
      </c>
      <c r="G45" s="22">
        <v>1116.28</v>
      </c>
      <c r="H45" s="22">
        <v>1160.9100000000001</v>
      </c>
      <c r="I45" s="22">
        <v>1162.05</v>
      </c>
      <c r="J45" s="22">
        <v>1207.9000000000001</v>
      </c>
      <c r="K45" s="22">
        <v>1280.23</v>
      </c>
    </row>
    <row r="46" spans="1:11" ht="14.25" customHeight="1" x14ac:dyDescent="0.3">
      <c r="A46" s="22" t="s">
        <v>23</v>
      </c>
      <c r="B46" s="22">
        <v>1094.26</v>
      </c>
      <c r="C46" s="22">
        <v>1135.72</v>
      </c>
      <c r="D46" s="22">
        <v>1176.24</v>
      </c>
      <c r="E46" s="22">
        <v>1143.0999999999999</v>
      </c>
      <c r="F46" s="22">
        <v>1169.9000000000001</v>
      </c>
      <c r="G46" s="22">
        <v>1213.21</v>
      </c>
      <c r="H46" s="22">
        <v>1279.22</v>
      </c>
      <c r="I46" s="22">
        <v>1318.65</v>
      </c>
      <c r="J46" s="22">
        <v>1363.66</v>
      </c>
      <c r="K46" s="22">
        <v>1295.26</v>
      </c>
    </row>
    <row r="47" spans="1:11" ht="14.25" customHeight="1" x14ac:dyDescent="0.3">
      <c r="A47" s="22" t="s">
        <v>24</v>
      </c>
      <c r="B47" s="22">
        <v>1488.76</v>
      </c>
      <c r="C47" s="22">
        <v>1537.03</v>
      </c>
      <c r="D47" s="22">
        <v>1490.34</v>
      </c>
      <c r="E47" s="22">
        <v>1772.87</v>
      </c>
      <c r="F47" s="22">
        <v>1456.69</v>
      </c>
      <c r="G47" s="22">
        <v>1599.69</v>
      </c>
      <c r="H47" s="22">
        <v>1619.46</v>
      </c>
      <c r="I47" s="22">
        <v>1679.9</v>
      </c>
      <c r="J47" s="22">
        <v>1539.63</v>
      </c>
      <c r="K47" s="22">
        <v>1797</v>
      </c>
    </row>
    <row r="48" spans="1:11" ht="14.25" customHeight="1" x14ac:dyDescent="0.3">
      <c r="A48" s="22" t="s">
        <v>25</v>
      </c>
      <c r="B48" s="22">
        <v>412.64</v>
      </c>
      <c r="C48" s="22">
        <v>491.44</v>
      </c>
      <c r="D48" s="22">
        <v>301.70999999999998</v>
      </c>
      <c r="E48" s="22">
        <v>679.79</v>
      </c>
      <c r="F48" s="22">
        <v>269.14999999999998</v>
      </c>
      <c r="G48" s="22">
        <v>293.60000000000002</v>
      </c>
      <c r="H48" s="22">
        <v>357.14</v>
      </c>
      <c r="I48" s="22">
        <v>434.51</v>
      </c>
      <c r="J48" s="22">
        <v>345.3</v>
      </c>
      <c r="K48" s="22">
        <v>381.48</v>
      </c>
    </row>
    <row r="49" spans="1:11" ht="14.25" customHeight="1" x14ac:dyDescent="0.3">
      <c r="A49" s="22" t="s">
        <v>26</v>
      </c>
      <c r="B49" s="22">
        <v>953.01</v>
      </c>
      <c r="C49" s="22">
        <v>895.21</v>
      </c>
      <c r="D49" s="22">
        <v>970.91</v>
      </c>
      <c r="E49" s="22">
        <v>926.53</v>
      </c>
      <c r="F49" s="22">
        <v>1030.7</v>
      </c>
      <c r="G49" s="22">
        <v>1042.83</v>
      </c>
      <c r="H49" s="22">
        <v>1059.8599999999999</v>
      </c>
      <c r="I49" s="22">
        <v>919.44</v>
      </c>
      <c r="J49" s="22">
        <v>771.98</v>
      </c>
      <c r="K49" s="22">
        <v>995.91</v>
      </c>
    </row>
    <row r="50" spans="1:11" ht="14.25" customHeight="1" x14ac:dyDescent="0.3">
      <c r="A50" s="22" t="s">
        <v>20</v>
      </c>
      <c r="B50" s="22">
        <v>2417.42</v>
      </c>
      <c r="C50" s="22">
        <v>2306.89</v>
      </c>
      <c r="D50" s="22">
        <v>3061.75</v>
      </c>
      <c r="E50" s="22">
        <v>3270.91</v>
      </c>
      <c r="F50" s="22">
        <v>3079.03</v>
      </c>
      <c r="G50" s="22">
        <v>3245.6</v>
      </c>
      <c r="H50" s="22">
        <v>3565.17</v>
      </c>
      <c r="I50" s="22">
        <v>3301.95</v>
      </c>
      <c r="J50" s="22">
        <v>3054.91</v>
      </c>
      <c r="K50" s="22">
        <v>2599.19</v>
      </c>
    </row>
    <row r="55" spans="1:11" ht="14.25" customHeight="1" x14ac:dyDescent="0.3">
      <c r="A55" s="21" t="s">
        <v>253</v>
      </c>
    </row>
    <row r="56" spans="1:11" s="122" customFormat="1" ht="14.25" customHeight="1" x14ac:dyDescent="0.3">
      <c r="A56" s="121" t="s">
        <v>251</v>
      </c>
      <c r="B56" s="19">
        <v>42825</v>
      </c>
      <c r="C56" s="19">
        <v>43190</v>
      </c>
      <c r="D56" s="19">
        <v>43555</v>
      </c>
      <c r="E56" s="19">
        <v>43921</v>
      </c>
      <c r="F56" s="19">
        <v>44286</v>
      </c>
      <c r="G56" s="19">
        <v>44651</v>
      </c>
      <c r="H56" s="19">
        <v>45016</v>
      </c>
      <c r="I56" s="19">
        <v>45382</v>
      </c>
      <c r="J56" s="19">
        <v>45747</v>
      </c>
      <c r="K56" s="19">
        <v>46112</v>
      </c>
    </row>
    <row r="57" spans="1:11" ht="14.25" customHeight="1" x14ac:dyDescent="0.3">
      <c r="A57" s="22" t="s">
        <v>43</v>
      </c>
      <c r="B57" s="22">
        <v>270.5</v>
      </c>
      <c r="C57" s="22">
        <v>270.5</v>
      </c>
      <c r="D57" s="22">
        <v>270.5</v>
      </c>
      <c r="E57" s="22">
        <v>270.5</v>
      </c>
      <c r="F57" s="22">
        <v>319.56</v>
      </c>
      <c r="G57" s="22">
        <v>319.56</v>
      </c>
      <c r="H57" s="22">
        <v>319.56</v>
      </c>
      <c r="I57" s="22">
        <v>319.56</v>
      </c>
      <c r="J57" s="22">
        <v>319.56</v>
      </c>
      <c r="K57" s="22">
        <v>319.56</v>
      </c>
    </row>
    <row r="58" spans="1:11" ht="14.25" customHeight="1" x14ac:dyDescent="0.3">
      <c r="A58" s="22" t="s">
        <v>44</v>
      </c>
      <c r="B58" s="22">
        <v>12944.05</v>
      </c>
      <c r="C58" s="22">
        <v>16129.38</v>
      </c>
      <c r="D58" s="22">
        <v>18035.009999999998</v>
      </c>
      <c r="E58" s="22">
        <v>19295.52</v>
      </c>
      <c r="F58" s="22">
        <v>22002.7</v>
      </c>
      <c r="G58" s="22">
        <v>22122</v>
      </c>
      <c r="H58" s="22">
        <v>28467.87</v>
      </c>
      <c r="I58" s="22">
        <v>32035.73</v>
      </c>
      <c r="J58" s="22">
        <v>35521.11</v>
      </c>
      <c r="K58" s="22">
        <v>39147.65</v>
      </c>
    </row>
    <row r="59" spans="1:11" ht="14.25" customHeight="1" x14ac:dyDescent="0.3">
      <c r="A59" s="22" t="s">
        <v>45</v>
      </c>
      <c r="B59" s="22">
        <v>48815.41</v>
      </c>
      <c r="C59" s="22">
        <v>48589.24</v>
      </c>
      <c r="D59" s="22">
        <v>48506.04</v>
      </c>
      <c r="E59" s="22">
        <v>51936.15</v>
      </c>
      <c r="F59" s="22">
        <v>46707.95</v>
      </c>
      <c r="G59" s="22">
        <v>51195.12</v>
      </c>
      <c r="H59" s="22">
        <v>52923</v>
      </c>
      <c r="I59" s="22">
        <v>53689.45</v>
      </c>
      <c r="J59" s="22">
        <v>62865.8</v>
      </c>
      <c r="K59" s="22">
        <v>76141.27</v>
      </c>
    </row>
    <row r="60" spans="1:11" ht="14.25" customHeight="1" x14ac:dyDescent="0.3">
      <c r="A60" s="22" t="s">
        <v>46</v>
      </c>
      <c r="B60" s="22">
        <v>20799.3</v>
      </c>
      <c r="C60" s="22">
        <v>16902.68</v>
      </c>
      <c r="D60" s="22">
        <v>17261.89</v>
      </c>
      <c r="E60" s="22">
        <v>18171.740000000002</v>
      </c>
      <c r="F60" s="22">
        <v>29624.63</v>
      </c>
      <c r="G60" s="22">
        <v>38913.31</v>
      </c>
      <c r="H60" s="22">
        <v>46385.71</v>
      </c>
      <c r="I60" s="22">
        <v>53009.66</v>
      </c>
      <c r="J60" s="22">
        <v>57486.83</v>
      </c>
      <c r="K60" s="22">
        <v>58955.76</v>
      </c>
    </row>
    <row r="61" spans="1:11" s="21" customFormat="1" ht="14.25" customHeight="1" x14ac:dyDescent="0.3">
      <c r="A61" s="21" t="s">
        <v>47</v>
      </c>
      <c r="B61" s="21">
        <v>82829.259999999995</v>
      </c>
      <c r="C61" s="21">
        <v>81891.8</v>
      </c>
      <c r="D61" s="21">
        <v>84073.44</v>
      </c>
      <c r="E61" s="21">
        <v>89673.91</v>
      </c>
      <c r="F61" s="21">
        <v>98654.84</v>
      </c>
      <c r="G61" s="21">
        <v>112549.99</v>
      </c>
      <c r="H61" s="21">
        <v>128096.14</v>
      </c>
      <c r="I61" s="21">
        <v>139054.39999999999</v>
      </c>
      <c r="J61" s="21">
        <v>156193.29999999999</v>
      </c>
      <c r="K61" s="21">
        <v>174564.24</v>
      </c>
    </row>
    <row r="62" spans="1:11" ht="14.25" customHeight="1" x14ac:dyDescent="0.3">
      <c r="A62" s="22" t="s">
        <v>48</v>
      </c>
      <c r="B62" s="22">
        <v>46594.79</v>
      </c>
      <c r="C62" s="22">
        <v>44656.26</v>
      </c>
      <c r="D62" s="22">
        <v>44304.89</v>
      </c>
      <c r="E62" s="22">
        <v>47666.36</v>
      </c>
      <c r="F62" s="22">
        <v>52179.15</v>
      </c>
      <c r="G62" s="22">
        <v>57389.440000000002</v>
      </c>
      <c r="H62" s="22">
        <v>61746.66</v>
      </c>
      <c r="I62" s="22">
        <v>67209.56</v>
      </c>
      <c r="J62" s="22">
        <v>78374.429999999993</v>
      </c>
      <c r="K62" s="22">
        <v>87292.69</v>
      </c>
    </row>
    <row r="63" spans="1:11" ht="14.25" customHeight="1" x14ac:dyDescent="0.3">
      <c r="A63" s="22" t="s">
        <v>49</v>
      </c>
      <c r="B63" s="22">
        <v>2177.92</v>
      </c>
      <c r="C63" s="22">
        <v>1652.6</v>
      </c>
      <c r="D63" s="22">
        <v>2575.6999999999998</v>
      </c>
      <c r="E63" s="22">
        <v>1611.52</v>
      </c>
      <c r="F63" s="22">
        <v>3270.26</v>
      </c>
      <c r="G63" s="22">
        <v>4635.1000000000004</v>
      </c>
      <c r="H63" s="22">
        <v>5376.36</v>
      </c>
      <c r="I63" s="22">
        <v>11561.31</v>
      </c>
      <c r="J63" s="22">
        <v>12678.87</v>
      </c>
      <c r="K63" s="22">
        <v>14595.13</v>
      </c>
    </row>
    <row r="64" spans="1:11" ht="14.25" customHeight="1" x14ac:dyDescent="0.3">
      <c r="A64" s="22" t="s">
        <v>50</v>
      </c>
      <c r="B64" s="22">
        <v>11873.01</v>
      </c>
      <c r="C64" s="22">
        <v>12428.93</v>
      </c>
      <c r="D64" s="22">
        <v>13541.87</v>
      </c>
      <c r="E64" s="22">
        <v>14534.84</v>
      </c>
      <c r="F64" s="22">
        <v>13149.05</v>
      </c>
      <c r="G64" s="22">
        <v>14160.33</v>
      </c>
      <c r="H64" s="22">
        <v>16669.689999999999</v>
      </c>
      <c r="I64" s="22">
        <v>16315.99</v>
      </c>
      <c r="J64" s="22">
        <v>16316.39</v>
      </c>
      <c r="K64" s="22">
        <v>16574.54</v>
      </c>
    </row>
    <row r="65" spans="1:11" ht="14.25" customHeight="1" x14ac:dyDescent="0.3">
      <c r="A65" s="22" t="s">
        <v>51</v>
      </c>
      <c r="B65" s="22">
        <v>22183.54</v>
      </c>
      <c r="C65" s="22">
        <v>23154.01</v>
      </c>
      <c r="D65" s="22">
        <v>23650.98</v>
      </c>
      <c r="E65" s="22">
        <v>25861.19</v>
      </c>
      <c r="F65" s="22">
        <v>30056.38</v>
      </c>
      <c r="G65" s="22">
        <v>36365.120000000003</v>
      </c>
      <c r="H65" s="22">
        <v>44303.43</v>
      </c>
      <c r="I65" s="22">
        <v>43967.54</v>
      </c>
      <c r="J65" s="22">
        <v>48823.61</v>
      </c>
      <c r="K65" s="22">
        <v>56101.88</v>
      </c>
    </row>
    <row r="66" spans="1:11" s="21" customFormat="1" ht="14.25" customHeight="1" x14ac:dyDescent="0.3">
      <c r="A66" s="21" t="s">
        <v>47</v>
      </c>
      <c r="B66" s="21">
        <v>82829.259999999995</v>
      </c>
      <c r="C66" s="21">
        <v>81891.8</v>
      </c>
      <c r="D66" s="21">
        <v>84073.44</v>
      </c>
      <c r="E66" s="21">
        <v>89673.91</v>
      </c>
      <c r="F66" s="21">
        <v>98654.84</v>
      </c>
      <c r="G66" s="21">
        <v>112549.99</v>
      </c>
      <c r="H66" s="21">
        <v>128096.14</v>
      </c>
      <c r="I66" s="21">
        <v>139054.39999999999</v>
      </c>
      <c r="J66" s="21">
        <v>156193.29999999999</v>
      </c>
      <c r="K66" s="21">
        <v>174564.24</v>
      </c>
    </row>
    <row r="67" spans="1:11" ht="14.25" customHeight="1" x14ac:dyDescent="0.3">
      <c r="A67" s="22" t="s">
        <v>102</v>
      </c>
      <c r="B67" s="22">
        <v>3832.12</v>
      </c>
      <c r="C67" s="22">
        <v>2788.93</v>
      </c>
      <c r="D67" s="22">
        <v>4445.26</v>
      </c>
      <c r="E67" s="22">
        <v>4425.8999999999996</v>
      </c>
      <c r="F67" s="22">
        <v>5200.08</v>
      </c>
      <c r="G67" s="22">
        <v>5979.74</v>
      </c>
      <c r="H67" s="22">
        <v>6952.15</v>
      </c>
      <c r="I67" s="22">
        <v>7401.69</v>
      </c>
      <c r="J67" s="22">
        <v>5709.78</v>
      </c>
      <c r="K67" s="22">
        <v>4423.96</v>
      </c>
    </row>
    <row r="68" spans="1:11" ht="14.25" customHeight="1" x14ac:dyDescent="0.3">
      <c r="A68" s="22" t="s">
        <v>54</v>
      </c>
      <c r="B68" s="22">
        <v>1599.56</v>
      </c>
      <c r="C68" s="22">
        <v>1623.08</v>
      </c>
      <c r="D68" s="22">
        <v>1706.42</v>
      </c>
      <c r="E68" s="22">
        <v>1752.35</v>
      </c>
      <c r="F68" s="22">
        <v>1885.62</v>
      </c>
      <c r="G68" s="22">
        <v>4231.5200000000004</v>
      </c>
      <c r="H68" s="22">
        <v>3942.88</v>
      </c>
      <c r="I68" s="22">
        <v>4419.63</v>
      </c>
      <c r="J68" s="22">
        <v>4571.82</v>
      </c>
      <c r="K68" s="22">
        <v>5107.6400000000003</v>
      </c>
    </row>
    <row r="69" spans="1:11" ht="14.25" customHeight="1" x14ac:dyDescent="0.3">
      <c r="A69" s="22" t="s">
        <v>103</v>
      </c>
      <c r="B69" s="22">
        <v>954.3</v>
      </c>
      <c r="C69" s="22">
        <v>1185.78</v>
      </c>
      <c r="D69" s="22">
        <v>787.45</v>
      </c>
      <c r="E69" s="22">
        <v>2094.1799999999998</v>
      </c>
      <c r="F69" s="22">
        <v>5870.67</v>
      </c>
      <c r="G69" s="22">
        <v>6640.7</v>
      </c>
      <c r="H69" s="22">
        <v>11206.53</v>
      </c>
      <c r="I69" s="22">
        <v>9151.91</v>
      </c>
      <c r="J69" s="22">
        <v>11750.98</v>
      </c>
      <c r="K69" s="22">
        <v>13644</v>
      </c>
    </row>
    <row r="70" spans="1:11" ht="14.25" customHeight="1" x14ac:dyDescent="0.3">
      <c r="A70" s="22" t="s">
        <v>254</v>
      </c>
      <c r="B70" s="22">
        <v>2706281698</v>
      </c>
      <c r="C70" s="22">
        <v>2706425810</v>
      </c>
      <c r="D70" s="22">
        <v>2706425810</v>
      </c>
      <c r="E70" s="22">
        <v>2706425810</v>
      </c>
      <c r="F70" s="22">
        <v>3196991847</v>
      </c>
      <c r="G70" s="22">
        <v>3196991847</v>
      </c>
      <c r="H70" s="22">
        <v>3196991847</v>
      </c>
      <c r="I70" s="22">
        <v>3196991847</v>
      </c>
      <c r="J70" s="22">
        <v>3196991847</v>
      </c>
      <c r="K70" s="22">
        <v>3196991847</v>
      </c>
    </row>
    <row r="71" spans="1:11" ht="14.25" customHeight="1" x14ac:dyDescent="0.3">
      <c r="A71" s="22" t="s">
        <v>255</v>
      </c>
    </row>
    <row r="72" spans="1:11" ht="14.25" customHeight="1" x14ac:dyDescent="0.3">
      <c r="A72" s="22" t="s">
        <v>256</v>
      </c>
      <c r="B72" s="22">
        <v>1</v>
      </c>
      <c r="C72" s="22">
        <v>1</v>
      </c>
      <c r="D72" s="22">
        <v>1</v>
      </c>
      <c r="E72" s="22">
        <v>1</v>
      </c>
      <c r="F72" s="22">
        <v>1</v>
      </c>
      <c r="G72" s="22">
        <v>1</v>
      </c>
      <c r="H72" s="22">
        <v>1</v>
      </c>
      <c r="I72" s="22">
        <v>1</v>
      </c>
      <c r="J72" s="22">
        <v>1</v>
      </c>
      <c r="K72" s="22">
        <v>1</v>
      </c>
    </row>
    <row r="80" spans="1:11" ht="14.25" customHeight="1" x14ac:dyDescent="0.3">
      <c r="A80" s="21" t="s">
        <v>257</v>
      </c>
    </row>
    <row r="81" spans="1:11" s="122" customFormat="1" ht="14.25" customHeight="1" x14ac:dyDescent="0.3">
      <c r="A81" s="121" t="s">
        <v>251</v>
      </c>
      <c r="B81" s="19">
        <v>42825</v>
      </c>
      <c r="C81" s="19">
        <v>43190</v>
      </c>
      <c r="D81" s="19">
        <v>43555</v>
      </c>
      <c r="E81" s="19">
        <v>43921</v>
      </c>
      <c r="F81" s="19">
        <v>44286</v>
      </c>
      <c r="G81" s="19">
        <v>44651</v>
      </c>
      <c r="H81" s="19">
        <v>45016</v>
      </c>
      <c r="I81" s="19">
        <v>45382</v>
      </c>
      <c r="J81" s="19">
        <v>45747</v>
      </c>
      <c r="K81" s="19">
        <v>46112</v>
      </c>
    </row>
    <row r="82" spans="1:11" s="21" customFormat="1" ht="14.25" customHeight="1" x14ac:dyDescent="0.3">
      <c r="A82" s="22" t="s">
        <v>58</v>
      </c>
      <c r="B82" s="21">
        <v>7014.18</v>
      </c>
      <c r="C82" s="21">
        <v>6363.85</v>
      </c>
      <c r="D82" s="21">
        <v>4573.79</v>
      </c>
      <c r="E82" s="21">
        <v>7375.32</v>
      </c>
      <c r="F82" s="21">
        <v>8345.1200000000008</v>
      </c>
      <c r="G82" s="21">
        <v>6692.73</v>
      </c>
      <c r="H82" s="21">
        <v>7165.59</v>
      </c>
      <c r="I82" s="21">
        <v>12504.37</v>
      </c>
      <c r="J82" s="21">
        <v>12680.19</v>
      </c>
      <c r="K82" s="21">
        <v>5993.33</v>
      </c>
    </row>
    <row r="83" spans="1:11" ht="14.25" customHeight="1" x14ac:dyDescent="0.3">
      <c r="A83" s="22" t="s">
        <v>59</v>
      </c>
      <c r="B83" s="22">
        <v>-7372.73</v>
      </c>
      <c r="C83" s="22">
        <v>-1511.65</v>
      </c>
      <c r="D83" s="22">
        <v>-272.33999999999997</v>
      </c>
      <c r="E83" s="22">
        <v>-492.88</v>
      </c>
      <c r="F83" s="22">
        <v>993.33</v>
      </c>
      <c r="G83" s="22">
        <v>-6250.47</v>
      </c>
      <c r="H83" s="22">
        <v>-7263.1</v>
      </c>
      <c r="I83" s="22">
        <v>-8935.3700000000008</v>
      </c>
      <c r="J83" s="22">
        <v>-15436.29</v>
      </c>
      <c r="K83" s="22">
        <v>-14128.65</v>
      </c>
    </row>
    <row r="84" spans="1:11" ht="14.25" customHeight="1" x14ac:dyDescent="0.3">
      <c r="A84" s="22" t="s">
        <v>60</v>
      </c>
      <c r="B84" s="22">
        <v>937.34</v>
      </c>
      <c r="C84" s="22">
        <v>-4726.26</v>
      </c>
      <c r="D84" s="22">
        <v>-5184.45</v>
      </c>
      <c r="E84" s="22">
        <v>-5109.57</v>
      </c>
      <c r="F84" s="22">
        <v>-7602.88</v>
      </c>
      <c r="G84" s="22">
        <v>-1183.2</v>
      </c>
      <c r="H84" s="22">
        <v>1340.77</v>
      </c>
      <c r="I84" s="22">
        <v>-4497.43</v>
      </c>
      <c r="J84" s="22">
        <v>4292.3900000000003</v>
      </c>
      <c r="K84" s="22">
        <v>7782.63</v>
      </c>
    </row>
    <row r="85" spans="1:11" s="21" customFormat="1" ht="14.25" customHeight="1" x14ac:dyDescent="0.3">
      <c r="A85" s="22" t="s">
        <v>61</v>
      </c>
      <c r="B85" s="21">
        <v>578.79</v>
      </c>
      <c r="C85" s="21">
        <v>125.94</v>
      </c>
      <c r="D85" s="21">
        <v>-883</v>
      </c>
      <c r="E85" s="21">
        <v>1772.87</v>
      </c>
      <c r="F85" s="21">
        <v>1735.57</v>
      </c>
      <c r="G85" s="21">
        <v>-740.94</v>
      </c>
      <c r="H85" s="21">
        <v>1243.26</v>
      </c>
      <c r="I85" s="21">
        <v>-928.43</v>
      </c>
      <c r="J85" s="21">
        <v>1536.29</v>
      </c>
      <c r="K85" s="21">
        <v>-352.69</v>
      </c>
    </row>
    <row r="90" spans="1:11" s="21" customFormat="1" ht="14.25" customHeight="1" x14ac:dyDescent="0.3">
      <c r="A90" s="21" t="s">
        <v>258</v>
      </c>
      <c r="B90" s="21">
        <v>90.35</v>
      </c>
      <c r="C90" s="21">
        <v>79</v>
      </c>
      <c r="D90" s="21">
        <v>73.8</v>
      </c>
      <c r="E90" s="21">
        <v>32.85</v>
      </c>
      <c r="F90" s="21">
        <v>103.25</v>
      </c>
      <c r="G90" s="21">
        <v>238.65</v>
      </c>
      <c r="H90" s="21">
        <v>190.25</v>
      </c>
      <c r="I90" s="21">
        <v>394.2</v>
      </c>
      <c r="J90" s="21">
        <v>375.4</v>
      </c>
      <c r="K90" s="21">
        <v>378.75</v>
      </c>
    </row>
    <row r="92" spans="1:11" s="21" customFormat="1" ht="14.25" customHeight="1" x14ac:dyDescent="0.3">
      <c r="A92" s="21" t="s">
        <v>259</v>
      </c>
    </row>
    <row r="93" spans="1:11" ht="14.25" customHeight="1" x14ac:dyDescent="0.3">
      <c r="A93" s="22" t="s">
        <v>260</v>
      </c>
      <c r="B93" s="123">
        <v>270.48</v>
      </c>
      <c r="C93" s="123">
        <v>270.48</v>
      </c>
      <c r="D93" s="123">
        <v>270.48</v>
      </c>
      <c r="E93" s="123">
        <v>270.48</v>
      </c>
      <c r="F93" s="123">
        <v>319.52999999999997</v>
      </c>
      <c r="G93" s="123">
        <v>319.52999999999997</v>
      </c>
      <c r="H93" s="123">
        <v>319.52999999999997</v>
      </c>
      <c r="I93" s="123">
        <v>319.52999999999997</v>
      </c>
      <c r="J93" s="123">
        <v>319.52999999999997</v>
      </c>
      <c r="K93" s="123">
        <v>319.52999999999997</v>
      </c>
    </row>
  </sheetData>
  <mergeCells count="1">
    <mergeCell ref="E1:K1"/>
  </mergeCells>
  <conditionalFormatting sqref="E1:K1">
    <cfRule type="cellIs" dxfId="0" priority="2" operator="notEqual">
      <formula>""</formula>
    </cfRule>
  </conditionalFormatting>
  <hyperlinks>
    <hyperlink ref="E1" r:id="rId1" display="https://www.screener.in/excel/" xr:uid="{00000000-0004-0000-0C00-000000000000}"/>
  </hyperlink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Dashboard</vt:lpstr>
      <vt:lpstr>Profit &amp; Loss</vt:lpstr>
      <vt:lpstr>Quarters</vt:lpstr>
      <vt:lpstr>Balance Sheet</vt:lpstr>
      <vt:lpstr>Cash Flow</vt:lpstr>
      <vt:lpstr>Customization</vt:lpstr>
      <vt:lpstr>Historical data</vt:lpstr>
      <vt:lpstr>Ratio Analysis</vt:lpstr>
      <vt:lpstr>DCF Modelling</vt:lpstr>
      <vt:lpstr>Common Size Statement</vt:lpstr>
      <vt:lpstr>Comp Analysis</vt:lpstr>
      <vt:lpstr>Data</vt:lpstr>
      <vt:lpstr>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navneet yadav</dc:creator>
  <dc:description/>
  <cp:lastModifiedBy>navneet yadav</cp:lastModifiedBy>
  <cp:revision>2</cp:revision>
  <cp:lastPrinted>2012-12-06T18:14:13Z</cp:lastPrinted>
  <dcterms:created xsi:type="dcterms:W3CDTF">2012-08-17T09:55:37Z</dcterms:created>
  <dcterms:modified xsi:type="dcterms:W3CDTF">2026-07-23T08:18:34Z</dcterms:modified>
  <dc:language>en-US</dc:language>
</cp:coreProperties>
</file>